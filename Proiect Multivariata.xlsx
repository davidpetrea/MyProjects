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240" yWindow="105" windowWidth="14805" windowHeight="8010" activeTab="1"/>
  </bookViews>
  <sheets>
    <sheet name="Sheet1" sheetId="1" r:id="rId1"/>
    <sheet name="MAin" sheetId="2" r:id="rId2"/>
    <sheet name="Sheet3" sheetId="3" r:id="rId3"/>
  </sheets>
  <calcPr calcId="152511"/>
</workbook>
</file>

<file path=xl/calcChain.xml><?xml version="1.0" encoding="utf-8"?>
<calcChain xmlns="http://schemas.openxmlformats.org/spreadsheetml/2006/main">
  <c r="J9" i="2" l="1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8" i="2"/>
  <c r="I47" i="2"/>
  <c r="H47" i="2"/>
  <c r="AE11" i="2"/>
  <c r="AE15" i="2"/>
  <c r="AE19" i="2"/>
  <c r="AE23" i="2"/>
  <c r="AE27" i="2"/>
  <c r="AE31" i="2"/>
  <c r="AE35" i="2"/>
  <c r="AE39" i="2"/>
  <c r="AE43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8" i="2"/>
  <c r="AI9" i="2"/>
  <c r="AI10" i="2"/>
  <c r="AI11" i="2"/>
  <c r="AI12" i="2"/>
  <c r="AI13" i="2"/>
  <c r="AI14" i="2"/>
  <c r="AI15" i="2"/>
  <c r="AI16" i="2"/>
  <c r="AI17" i="2"/>
  <c r="AI18" i="2"/>
  <c r="AI19" i="2"/>
  <c r="AI20" i="2"/>
  <c r="AI21" i="2"/>
  <c r="AI22" i="2"/>
  <c r="AI23" i="2"/>
  <c r="AI24" i="2"/>
  <c r="AI25" i="2"/>
  <c r="AI26" i="2"/>
  <c r="AI27" i="2"/>
  <c r="AI28" i="2"/>
  <c r="AI29" i="2"/>
  <c r="AI30" i="2"/>
  <c r="AI31" i="2"/>
  <c r="AI32" i="2"/>
  <c r="AI33" i="2"/>
  <c r="AI34" i="2"/>
  <c r="AI35" i="2"/>
  <c r="AI36" i="2"/>
  <c r="AI37" i="2"/>
  <c r="AI38" i="2"/>
  <c r="AI39" i="2"/>
  <c r="AI40" i="2"/>
  <c r="AI41" i="2"/>
  <c r="AI42" i="2"/>
  <c r="AI43" i="2"/>
  <c r="AI8" i="2"/>
  <c r="AH9" i="2"/>
  <c r="AH10" i="2"/>
  <c r="AH11" i="2"/>
  <c r="AH12" i="2"/>
  <c r="AH13" i="2"/>
  <c r="AH14" i="2"/>
  <c r="AH15" i="2"/>
  <c r="AH16" i="2"/>
  <c r="AH17" i="2"/>
  <c r="AH18" i="2"/>
  <c r="AH19" i="2"/>
  <c r="AH20" i="2"/>
  <c r="AH21" i="2"/>
  <c r="AH22" i="2"/>
  <c r="AH23" i="2"/>
  <c r="AH24" i="2"/>
  <c r="AH25" i="2"/>
  <c r="AH26" i="2"/>
  <c r="AH27" i="2"/>
  <c r="AH28" i="2"/>
  <c r="AH29" i="2"/>
  <c r="AH30" i="2"/>
  <c r="AH31" i="2"/>
  <c r="AH32" i="2"/>
  <c r="AH33" i="2"/>
  <c r="AH34" i="2"/>
  <c r="AH35" i="2"/>
  <c r="AH36" i="2"/>
  <c r="AH37" i="2"/>
  <c r="AH38" i="2"/>
  <c r="AH39" i="2"/>
  <c r="AH40" i="2"/>
  <c r="AH41" i="2"/>
  <c r="AH42" i="2"/>
  <c r="AH43" i="2"/>
  <c r="AH8" i="2"/>
  <c r="AG9" i="2"/>
  <c r="AG10" i="2"/>
  <c r="AG11" i="2"/>
  <c r="AG12" i="2"/>
  <c r="AG13" i="2"/>
  <c r="AG14" i="2"/>
  <c r="AG15" i="2"/>
  <c r="AG16" i="2"/>
  <c r="AG17" i="2"/>
  <c r="AG18" i="2"/>
  <c r="AG19" i="2"/>
  <c r="AG20" i="2"/>
  <c r="AG21" i="2"/>
  <c r="AG22" i="2"/>
  <c r="AG23" i="2"/>
  <c r="AG24" i="2"/>
  <c r="AG25" i="2"/>
  <c r="AG26" i="2"/>
  <c r="AG27" i="2"/>
  <c r="AG28" i="2"/>
  <c r="AG29" i="2"/>
  <c r="AG30" i="2"/>
  <c r="AG31" i="2"/>
  <c r="AG32" i="2"/>
  <c r="AG33" i="2"/>
  <c r="AG34" i="2"/>
  <c r="AG35" i="2"/>
  <c r="AG36" i="2"/>
  <c r="AG37" i="2"/>
  <c r="AG38" i="2"/>
  <c r="AG39" i="2"/>
  <c r="AG40" i="2"/>
  <c r="AG41" i="2"/>
  <c r="AG42" i="2"/>
  <c r="AG43" i="2"/>
  <c r="AG8" i="2"/>
  <c r="AF9" i="2"/>
  <c r="AF10" i="2"/>
  <c r="AF11" i="2"/>
  <c r="AF12" i="2"/>
  <c r="AF13" i="2"/>
  <c r="AF14" i="2"/>
  <c r="AF15" i="2"/>
  <c r="AF16" i="2"/>
  <c r="AF17" i="2"/>
  <c r="AF18" i="2"/>
  <c r="AF19" i="2"/>
  <c r="AF20" i="2"/>
  <c r="AF21" i="2"/>
  <c r="AF22" i="2"/>
  <c r="AF23" i="2"/>
  <c r="AF24" i="2"/>
  <c r="AF25" i="2"/>
  <c r="AF26" i="2"/>
  <c r="AF27" i="2"/>
  <c r="AF28" i="2"/>
  <c r="AF29" i="2"/>
  <c r="AF30" i="2"/>
  <c r="AF31" i="2"/>
  <c r="AF32" i="2"/>
  <c r="AF33" i="2"/>
  <c r="AF34" i="2"/>
  <c r="AF35" i="2"/>
  <c r="AF36" i="2"/>
  <c r="AF37" i="2"/>
  <c r="AF38" i="2"/>
  <c r="AF39" i="2"/>
  <c r="AF40" i="2"/>
  <c r="AF41" i="2"/>
  <c r="AF42" i="2"/>
  <c r="AF43" i="2"/>
  <c r="AF8" i="2"/>
  <c r="AE9" i="2"/>
  <c r="AE10" i="2"/>
  <c r="AE12" i="2"/>
  <c r="AE13" i="2"/>
  <c r="AE14" i="2"/>
  <c r="AE16" i="2"/>
  <c r="AE17" i="2"/>
  <c r="AE18" i="2"/>
  <c r="AE20" i="2"/>
  <c r="AE21" i="2"/>
  <c r="AE22" i="2"/>
  <c r="AE24" i="2"/>
  <c r="AE25" i="2"/>
  <c r="AE26" i="2"/>
  <c r="AE28" i="2"/>
  <c r="AE29" i="2"/>
  <c r="AE30" i="2"/>
  <c r="AE32" i="2"/>
  <c r="AE33" i="2"/>
  <c r="AE34" i="2"/>
  <c r="AE36" i="2"/>
  <c r="AE37" i="2"/>
  <c r="AE38" i="2"/>
  <c r="AE40" i="2"/>
  <c r="AE41" i="2"/>
  <c r="AE42" i="2"/>
  <c r="AE8" i="2"/>
  <c r="E21" i="3" l="1"/>
  <c r="D21" i="3"/>
  <c r="C21" i="3"/>
  <c r="E20" i="3"/>
  <c r="D20" i="3"/>
  <c r="C20" i="3"/>
  <c r="C19" i="3"/>
  <c r="D19" i="3"/>
  <c r="E19" i="3"/>
  <c r="E18" i="3"/>
  <c r="D18" i="3"/>
  <c r="C18" i="3"/>
  <c r="C17" i="3"/>
  <c r="D17" i="3"/>
  <c r="E17" i="3"/>
  <c r="E16" i="3"/>
  <c r="D16" i="3"/>
  <c r="C16" i="3"/>
  <c r="E15" i="3"/>
  <c r="D15" i="3"/>
  <c r="C15" i="3"/>
  <c r="E14" i="3"/>
  <c r="D14" i="3"/>
  <c r="C14" i="3"/>
  <c r="C13" i="3"/>
  <c r="D13" i="3"/>
  <c r="E13" i="3"/>
  <c r="E12" i="3"/>
  <c r="D12" i="3"/>
  <c r="C12" i="3"/>
  <c r="E11" i="3"/>
  <c r="D11" i="3"/>
  <c r="C11" i="3"/>
  <c r="E10" i="3"/>
  <c r="D10" i="3"/>
  <c r="C10" i="3"/>
  <c r="C9" i="3"/>
  <c r="D9" i="3"/>
  <c r="E9" i="3"/>
  <c r="E7" i="3"/>
  <c r="E8" i="3"/>
  <c r="E6" i="3"/>
  <c r="D7" i="3"/>
  <c r="D8" i="3"/>
  <c r="D6" i="3"/>
  <c r="C8" i="3"/>
  <c r="C7" i="3"/>
  <c r="C6" i="3"/>
</calcChain>
</file>

<file path=xl/sharedStrings.xml><?xml version="1.0" encoding="utf-8"?>
<sst xmlns="http://schemas.openxmlformats.org/spreadsheetml/2006/main" count="190" uniqueCount="88">
  <si>
    <t>Year</t>
  </si>
  <si>
    <t>Country</t>
  </si>
  <si>
    <t>Australia</t>
  </si>
  <si>
    <t>Austria</t>
  </si>
  <si>
    <t>Belgium</t>
  </si>
  <si>
    <t>Canada</t>
  </si>
  <si>
    <t>Chile</t>
  </si>
  <si>
    <t>Czech Republic</t>
  </si>
  <si>
    <t>Denmark</t>
  </si>
  <si>
    <t>Estonia</t>
  </si>
  <si>
    <t>Finland</t>
  </si>
  <si>
    <t>France</t>
  </si>
  <si>
    <t>Germany</t>
  </si>
  <si>
    <t>Greece</t>
  </si>
  <si>
    <t>Hungary</t>
  </si>
  <si>
    <t>Iceland</t>
  </si>
  <si>
    <t>Ireland</t>
  </si>
  <si>
    <t>Israel</t>
  </si>
  <si>
    <t>Italy</t>
  </si>
  <si>
    <t>Japan</t>
  </si>
  <si>
    <t>Korea</t>
  </si>
  <si>
    <t>Latvia</t>
  </si>
  <si>
    <t>Lithuania</t>
  </si>
  <si>
    <t>Luxembourg</t>
  </si>
  <si>
    <t>Mexico</t>
  </si>
  <si>
    <t>Netherlands</t>
  </si>
  <si>
    <t>New Zealand</t>
  </si>
  <si>
    <t>Norway</t>
  </si>
  <si>
    <t>Poland</t>
  </si>
  <si>
    <t>Portugal</t>
  </si>
  <si>
    <t>Slovak Republic</t>
  </si>
  <si>
    <t>Slovenia</t>
  </si>
  <si>
    <t>Spain</t>
  </si>
  <si>
    <t>Sweden</t>
  </si>
  <si>
    <t>Switzerland</t>
  </si>
  <si>
    <t>Turkey</t>
  </si>
  <si>
    <t>United Kingdom</t>
  </si>
  <si>
    <t>United States</t>
  </si>
  <si>
    <t>Tonnes of CO2(Thousands)</t>
  </si>
  <si>
    <t>Population</t>
  </si>
  <si>
    <t>Tonnes of CO2/person</t>
  </si>
  <si>
    <t>GDP/capita</t>
  </si>
  <si>
    <t>CO2/population(tCO2/capita)</t>
  </si>
  <si>
    <t>Oil consumption(Mtoe)</t>
  </si>
  <si>
    <t>Coal consumption(Mtoe)</t>
  </si>
  <si>
    <t>Natural gas consumption(Mtoe)</t>
  </si>
  <si>
    <t>Electricity consumption per capita(MWh/capita)</t>
  </si>
  <si>
    <t>Oil consumption/capita</t>
  </si>
  <si>
    <t>oil</t>
  </si>
  <si>
    <t>coal</t>
  </si>
  <si>
    <t>gas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</si>
  <si>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</si>
  <si>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</si>
  <si>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</si>
  <si>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</si>
  <si>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</si>
  <si>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</si>
  <si>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</si>
  <si>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</si>
  <si>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</si>
  <si>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</si>
  <si>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</si>
  <si>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</si>
  <si>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</si>
  <si>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</si>
  <si>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</si>
  <si>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</si>
  <si>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</si>
  <si>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</si>
  <si>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</si>
  <si>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</si>
  <si>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</si>
  <si>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</si>
  <si>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</si>
  <si>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</si>
  <si>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RESIDUAL OUTPUT</t>
  </si>
  <si>
    <t>Observation</t>
  </si>
  <si>
    <t>Predicted Tonnes of CO2/person</t>
  </si>
  <si>
    <t>Residuals</t>
  </si>
  <si>
    <t>Energy consumption per capita(MWh/capita)</t>
  </si>
  <si>
    <t>Domestic credit to private sector (% of GDP)</t>
  </si>
  <si>
    <t>LN</t>
  </si>
  <si>
    <t>Share of Fossil Fuels in electricity production(%)</t>
  </si>
  <si>
    <t>Share of Fossil Fuels in electricity production Categories(0/20/40/60/80)</t>
  </si>
  <si>
    <t>Tonnes of CO2/capita</t>
  </si>
  <si>
    <t>Energy consumption/capita(MWh/capita)</t>
  </si>
  <si>
    <t>CATEG FOSSIL FUEL</t>
  </si>
  <si>
    <t>CATEG CO2 EMISSIONS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</si>
</sst>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.00_ ;\-#,##0.00\ "/>
    <numFmt numFmtId="165" formatCode="0.0000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Arial"/>
      <family val="2"/>
    </font>
    <font>
      <sz val="12"/>
      <name val="Times New Roman"/>
      <family val="1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0F8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0000"/>
        <bgColor indexed="64"/>
      </patternFill>
    </fill>
  </fills>
  <borders count="9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rgb="FFC0C0C0"/>
      </left>
      <right style="thin">
        <color rgb="FFC0C0C0"/>
      </right>
      <top/>
      <bottom style="thin">
        <color rgb="FFC0C0C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/>
    <xf numFmtId="2" fontId="0" fillId="0" borderId="0" xfId="0" applyNumberFormat="1"/>
    <xf numFmtId="2" fontId="3" fillId="3" borderId="2" xfId="0" applyNumberFormat="1" applyFont="1" applyFill="1" applyBorder="1" applyAlignment="1">
      <alignment horizontal="right"/>
    </xf>
    <xf numFmtId="2" fontId="3" fillId="3" borderId="3" xfId="0" applyNumberFormat="1" applyFont="1" applyFill="1" applyBorder="1" applyAlignment="1">
      <alignment horizontal="right"/>
    </xf>
    <xf numFmtId="0" fontId="4" fillId="4" borderId="2" xfId="0" applyFont="1" applyFill="1" applyBorder="1"/>
    <xf numFmtId="0" fontId="5" fillId="4" borderId="2" xfId="0" applyFont="1" applyFill="1" applyBorder="1"/>
    <xf numFmtId="164" fontId="2" fillId="0" borderId="1" xfId="0" applyNumberFormat="1" applyFont="1" applyBorder="1" applyAlignment="1">
      <alignment horizontal="right"/>
    </xf>
    <xf numFmtId="164" fontId="2" fillId="2" borderId="1" xfId="0" applyNumberFormat="1" applyFont="1" applyFill="1" applyBorder="1" applyAlignment="1">
      <alignment horizontal="right"/>
    </xf>
    <xf numFmtId="0" fontId="0" fillId="0" borderId="0" xfId="0" applyFill="1" applyBorder="1" applyAlignment="1"/>
    <xf numFmtId="0" fontId="0" fillId="0" borderId="0" xfId="0" applyBorder="1"/>
    <xf numFmtId="0" fontId="6" fillId="0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centerContinuous"/>
    </xf>
    <xf numFmtId="0" fontId="0" fillId="0" borderId="0" xfId="0" applyFill="1" applyBorder="1"/>
    <xf numFmtId="2" fontId="4" fillId="4" borderId="2" xfId="0" applyNumberFormat="1" applyFont="1" applyFill="1" applyBorder="1"/>
    <xf numFmtId="2" fontId="0" fillId="0" borderId="0" xfId="0" applyNumberFormat="1" applyFill="1" applyBorder="1"/>
    <xf numFmtId="2" fontId="0" fillId="0" borderId="0" xfId="0" applyNumberFormat="1" applyBorder="1"/>
    <xf numFmtId="0" fontId="0" fillId="0" borderId="0" xfId="0" applyFont="1" applyFill="1" applyBorder="1" applyAlignment="1">
      <alignment horizontal="right"/>
    </xf>
    <xf numFmtId="2" fontId="0" fillId="0" borderId="0" xfId="0" applyNumberFormat="1" applyFill="1" applyBorder="1" applyAlignment="1"/>
    <xf numFmtId="0" fontId="0" fillId="0" borderId="4" xfId="0" applyFill="1" applyBorder="1" applyAlignment="1"/>
    <xf numFmtId="0" fontId="6" fillId="0" borderId="5" xfId="0" applyFont="1" applyFill="1" applyBorder="1" applyAlignment="1">
      <alignment horizontal="center"/>
    </xf>
    <xf numFmtId="164" fontId="2" fillId="0" borderId="6" xfId="0" applyNumberFormat="1" applyFont="1" applyBorder="1" applyAlignment="1">
      <alignment horizontal="right"/>
    </xf>
    <xf numFmtId="0" fontId="0" fillId="0" borderId="2" xfId="0" applyBorder="1"/>
    <xf numFmtId="0" fontId="6" fillId="0" borderId="5" xfId="0" applyFont="1" applyFill="1" applyBorder="1" applyAlignment="1">
      <alignment horizontal="centerContinuous"/>
    </xf>
    <xf numFmtId="0" fontId="5" fillId="4" borderId="7" xfId="0" applyFont="1" applyFill="1" applyBorder="1"/>
    <xf numFmtId="0" fontId="4" fillId="4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164" fontId="3" fillId="3" borderId="2" xfId="0" applyNumberFormat="1" applyFont="1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5" fillId="4" borderId="8" xfId="0" applyFont="1" applyFill="1" applyBorder="1"/>
    <xf numFmtId="0" fontId="7" fillId="5" borderId="0" xfId="0" applyFont="1" applyFill="1" applyAlignment="1">
      <alignment horizontal="center"/>
    </xf>
    <xf numFmtId="165" fontId="0" fillId="0" borderId="2" xfId="0" applyNumberFormat="1" applyBorder="1" applyAlignment="1">
      <alignment horizontal="center"/>
    </xf>
    <xf numFmtId="165" fontId="3" fillId="3" borderId="2" xfId="0" applyNumberFormat="1" applyFont="1" applyFill="1" applyBorder="1" applyAlignment="1">
      <alignment horizontal="center"/>
    </xf>
    <xf numFmtId="0" fontId="4" fillId="4" borderId="8" xfId="0" applyFont="1" applyFill="1" applyBorder="1" applyAlignment="1">
      <alignment horizontal="center"/>
    </xf>
    <xf numFmtId="165" fontId="0" fillId="0" borderId="0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385536</xdr:colOff>
      <xdr:row>51</xdr:row>
      <xdr:rowOff>0</xdr:rowOff>
    </xdr:from>
    <xdr:to>
      <xdr:col>4</xdr:col>
      <xdr:colOff>341993</xdr:colOff>
      <xdr:row>75</xdr:row>
      <xdr:rowOff>160564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5536" y="10284732"/>
          <a:ext cx="5991225" cy="4800600"/>
        </a:xfrm>
        <a:prstGeom prst="rect">
          <a:avLst/>
        </a:prstGeom>
      </xdr:spPr>
    </xdr:pic>
    <xdr:clientData/>
  </xdr:twoCellAnchor>
  <xdr:twoCellAnchor editAs="oneCell">
    <xdr:from>
      <xdr:col>0</xdr:col>
      <xdr:colOff>374196</xdr:colOff>
      <xdr:row>80</xdr:row>
      <xdr:rowOff>136072</xdr:rowOff>
    </xdr:from>
    <xdr:to>
      <xdr:col>4</xdr:col>
      <xdr:colOff>330653</xdr:colOff>
      <xdr:row>105</xdr:row>
      <xdr:rowOff>106136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74196" y="16022411"/>
          <a:ext cx="5991225" cy="4800600"/>
        </a:xfrm>
        <a:prstGeom prst="rect">
          <a:avLst/>
        </a:prstGeom>
      </xdr:spPr>
    </xdr:pic>
    <xdr:clientData/>
  </xdr:twoCellAnchor>
  <xdr:oneCellAnchor>
    <xdr:from>
      <xdr:col>5</xdr:col>
      <xdr:colOff>412749</xdr:colOff>
      <xdr:row>52</xdr:row>
      <xdr:rowOff>29482</xdr:rowOff>
    </xdr:from>
    <xdr:ext cx="5993494" cy="4743903"/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787820" y="10643053"/>
          <a:ext cx="5993494" cy="4743903"/>
        </a:xfrm>
        <a:prstGeom prst="rect">
          <a:avLst/>
        </a:prstGeom>
      </xdr:spPr>
    </xdr:pic>
    <xdr:clientData/>
  </xdr:oneCellAnchor>
  <xdr:oneCellAnchor>
    <xdr:from>
      <xdr:col>5</xdr:col>
      <xdr:colOff>684894</xdr:colOff>
      <xdr:row>80</xdr:row>
      <xdr:rowOff>113393</xdr:rowOff>
    </xdr:from>
    <xdr:ext cx="5993494" cy="4746171"/>
    <xdr:pic>
      <xdr:nvPicPr>
        <xdr:cNvPr id="9" name="Picture 8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059965" y="16060964"/>
          <a:ext cx="5993494" cy="4746171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I11" sqref="I11"/>
    </sheetView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4:AT82"/>
  <sheetViews>
    <sheetView tabSelected="1" zoomScale="70" zoomScaleNormal="70" workbookViewId="0">
      <selection activeCell="H2" sqref="H2"/>
    </sheetView>
  </sheetViews>
  <sheetFormatPr defaultRowHeight="15" x14ac:dyDescent="0.25"/>
  <cols>
    <col min="1" max="1" width="30.42578125" bestFit="1" customWidth="1"/>
    <col min="2" max="2" width="27.28515625" bestFit="1" customWidth="1"/>
    <col min="3" max="3" width="14.42578125" bestFit="1" customWidth="1"/>
    <col min="4" max="4" width="18.140625" bestFit="1" customWidth="1"/>
    <col min="5" max="5" width="20.28515625" customWidth="1"/>
    <col min="6" max="6" width="54.42578125" bestFit="1" customWidth="1"/>
    <col min="7" max="7" width="57.28515625" bestFit="1" customWidth="1"/>
    <col min="8" max="8" width="19.5703125" customWidth="1"/>
    <col min="9" max="9" width="8.28515625" bestFit="1" customWidth="1"/>
    <col min="10" max="10" width="35.42578125" customWidth="1"/>
    <col min="11" max="11" width="29.85546875" customWidth="1"/>
    <col min="12" max="12" width="29.5703125" customWidth="1"/>
    <col min="13" max="13" width="32" bestFit="1" customWidth="1"/>
    <col min="14" max="14" width="21.28515625" bestFit="1" customWidth="1"/>
    <col min="16" max="16" width="22.140625" bestFit="1" customWidth="1"/>
    <col min="17" max="17" width="30.28515625" bestFit="1" customWidth="1"/>
    <col min="18" max="18" width="21.28515625" bestFit="1" customWidth="1"/>
    <col min="19" max="19" width="12.42578125" bestFit="1" customWidth="1"/>
    <col min="20" max="20" width="13" bestFit="1" customWidth="1"/>
    <col min="21" max="21" width="13.42578125" bestFit="1" customWidth="1"/>
    <col min="30" max="30" width="17.42578125" bestFit="1" customWidth="1"/>
    <col min="38" max="38" width="12.7109375" customWidth="1"/>
    <col min="39" max="39" width="25" bestFit="1" customWidth="1"/>
    <col min="42" max="42" width="46" bestFit="1" customWidth="1"/>
  </cols>
  <sheetData>
    <row r="4" spans="1:43" x14ac:dyDescent="0.25">
      <c r="A4" t="s">
        <v>0</v>
      </c>
      <c r="B4" s="1">
        <v>2016</v>
      </c>
      <c r="D4" s="1"/>
    </row>
    <row r="5" spans="1:43" ht="26.25" x14ac:dyDescent="0.4">
      <c r="AF5" s="30" t="s">
        <v>81</v>
      </c>
    </row>
    <row r="7" spans="1:43" s="6" customFormat="1" ht="18.75" x14ac:dyDescent="0.3">
      <c r="A7" s="25" t="s">
        <v>1</v>
      </c>
      <c r="B7" s="25" t="s">
        <v>84</v>
      </c>
      <c r="C7" s="25" t="s">
        <v>41</v>
      </c>
      <c r="D7" s="25" t="s">
        <v>39</v>
      </c>
      <c r="E7" s="25" t="s">
        <v>85</v>
      </c>
      <c r="F7" s="25" t="s">
        <v>80</v>
      </c>
      <c r="G7" s="33" t="s">
        <v>82</v>
      </c>
      <c r="H7" s="33" t="s">
        <v>83</v>
      </c>
      <c r="I7" s="33" t="s">
        <v>86</v>
      </c>
      <c r="J7" s="33" t="s">
        <v>87</v>
      </c>
      <c r="K7" s="33"/>
      <c r="L7" s="29"/>
      <c r="M7" s="25" t="s">
        <v>38</v>
      </c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AD7" s="25" t="s">
        <v>1</v>
      </c>
      <c r="AE7" s="25" t="s">
        <v>40</v>
      </c>
      <c r="AF7" s="25" t="s">
        <v>41</v>
      </c>
      <c r="AG7" s="25" t="s">
        <v>39</v>
      </c>
      <c r="AH7" s="25" t="s">
        <v>79</v>
      </c>
      <c r="AI7" s="25" t="s">
        <v>80</v>
      </c>
    </row>
    <row r="8" spans="1:43" ht="16.5" thickBot="1" x14ac:dyDescent="0.3">
      <c r="A8" s="26" t="s">
        <v>2</v>
      </c>
      <c r="B8" s="26">
        <v>17.079036846365454</v>
      </c>
      <c r="C8" s="31">
        <v>45929.177873000001</v>
      </c>
      <c r="D8" s="32">
        <v>24190907</v>
      </c>
      <c r="E8" s="32">
        <v>9.9</v>
      </c>
      <c r="F8" s="31">
        <v>142.28411538302501</v>
      </c>
      <c r="G8" s="34">
        <v>86</v>
      </c>
      <c r="H8" s="34">
        <f>IF(G8&gt;=80,5,IF(G8&gt;=60,4,IF(G8&gt;=40,3,IF(G8&gt;=20,2,1))))</f>
        <v>5</v>
      </c>
      <c r="I8" s="34">
        <v>5</v>
      </c>
      <c r="J8" s="34">
        <f>IF(B8&gt;=14.39,5,IF(B8&gt;=11.72,4,IF(B8&gt;=9,3,IF(B9&gt;=6.367,2,1))))</f>
        <v>5</v>
      </c>
      <c r="K8" s="28"/>
      <c r="M8" s="27">
        <v>413157.39199999999</v>
      </c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AD8" s="26" t="s">
        <v>2</v>
      </c>
      <c r="AE8" s="22">
        <f>LN(B8)</f>
        <v>2.837851796042389</v>
      </c>
      <c r="AF8" s="22">
        <f>LN(C8)</f>
        <v>10.734855877595086</v>
      </c>
      <c r="AG8" s="22">
        <f>LN(D8)</f>
        <v>17.001487376715872</v>
      </c>
      <c r="AH8" s="22">
        <f>LN(E8)</f>
        <v>2.2925347571405443</v>
      </c>
      <c r="AI8" s="22">
        <f>LN(F8)</f>
        <v>4.9578258711982501</v>
      </c>
    </row>
    <row r="9" spans="1:43" ht="16.5" thickBot="1" x14ac:dyDescent="0.3">
      <c r="A9" s="26" t="s">
        <v>3</v>
      </c>
      <c r="B9" s="26">
        <v>7.702102083272786</v>
      </c>
      <c r="C9" s="31">
        <v>43284.016705000002</v>
      </c>
      <c r="D9" s="32">
        <v>8739806</v>
      </c>
      <c r="E9" s="32">
        <v>8.5</v>
      </c>
      <c r="F9" s="31">
        <v>83.497084066844266</v>
      </c>
      <c r="G9" s="34">
        <v>21</v>
      </c>
      <c r="H9" s="34">
        <f t="shared" ref="H9:H43" si="0">IF(G9&gt;=80,5,IF(G9&gt;=60,4,IF(G9&gt;=40,3,IF(G9&gt;=20,2,1))))</f>
        <v>2</v>
      </c>
      <c r="I9" s="34">
        <v>2</v>
      </c>
      <c r="J9" s="34">
        <f t="shared" ref="J9:J43" si="1">IF(B9&gt;=14.39,5,IF(B9&gt;=11.72,4,IF(B9&gt;=9,3,IF(B10&gt;=6.367,2,1))))</f>
        <v>2</v>
      </c>
      <c r="K9" s="28"/>
      <c r="M9" s="27">
        <v>67314.877999999997</v>
      </c>
      <c r="N9" s="11"/>
      <c r="O9" s="10"/>
      <c r="P9" s="20"/>
      <c r="Q9" s="20" t="s">
        <v>40</v>
      </c>
      <c r="R9" s="20" t="s">
        <v>41</v>
      </c>
      <c r="S9" s="20" t="s">
        <v>39</v>
      </c>
      <c r="T9" s="20" t="s">
        <v>79</v>
      </c>
      <c r="U9" s="20" t="s">
        <v>80</v>
      </c>
      <c r="V9" s="10"/>
      <c r="W9" s="10"/>
      <c r="X9" s="10"/>
      <c r="AD9" s="26" t="s">
        <v>3</v>
      </c>
      <c r="AE9" s="22">
        <f t="shared" ref="AE9:AE43" si="2">LN(B9)</f>
        <v>2.0414932894301465</v>
      </c>
      <c r="AF9" s="22">
        <f t="shared" ref="AF9:AF43" si="3">LN(C9)</f>
        <v>10.675538716630841</v>
      </c>
      <c r="AG9" s="22">
        <f t="shared" ref="AG9:AG43" si="4">LN(D9)</f>
        <v>15.983398550589026</v>
      </c>
      <c r="AH9" s="22">
        <f t="shared" ref="AH9:AH43" si="5">LN(E9)</f>
        <v>2.1400661634962708</v>
      </c>
      <c r="AI9" s="22">
        <f t="shared" ref="AI9:AI43" si="6">LN(F9)</f>
        <v>4.4248117098918867</v>
      </c>
      <c r="AL9" s="10"/>
      <c r="AM9" s="10"/>
      <c r="AN9" s="10"/>
      <c r="AO9" s="10"/>
      <c r="AP9" s="10"/>
      <c r="AQ9" s="10"/>
    </row>
    <row r="10" spans="1:43" ht="15.75" x14ac:dyDescent="0.25">
      <c r="A10" s="26" t="s">
        <v>4</v>
      </c>
      <c r="B10" s="26">
        <v>8.7137241132206871</v>
      </c>
      <c r="C10" s="31">
        <v>41284.374368999997</v>
      </c>
      <c r="D10" s="32">
        <v>11295003</v>
      </c>
      <c r="E10" s="32">
        <v>7.8</v>
      </c>
      <c r="F10" s="31">
        <v>64.194767509638964</v>
      </c>
      <c r="G10" s="34">
        <v>29</v>
      </c>
      <c r="H10" s="34">
        <f t="shared" si="0"/>
        <v>2</v>
      </c>
      <c r="I10" s="34">
        <v>2</v>
      </c>
      <c r="J10" s="34">
        <f t="shared" si="1"/>
        <v>2</v>
      </c>
      <c r="K10" s="28"/>
      <c r="M10" s="27">
        <v>98421.54</v>
      </c>
      <c r="N10" s="9"/>
      <c r="O10" s="11"/>
      <c r="P10" s="9" t="s">
        <v>40</v>
      </c>
      <c r="Q10" s="9">
        <v>1</v>
      </c>
      <c r="R10" s="9"/>
      <c r="S10" s="9"/>
      <c r="T10" s="9"/>
      <c r="U10" s="9"/>
      <c r="V10" s="10"/>
      <c r="W10" s="10"/>
      <c r="X10" s="10"/>
      <c r="AD10" s="26" t="s">
        <v>4</v>
      </c>
      <c r="AE10" s="22">
        <f t="shared" si="2"/>
        <v>2.1648992670174083</v>
      </c>
      <c r="AF10" s="22">
        <f t="shared" si="3"/>
        <v>10.628239362782486</v>
      </c>
      <c r="AG10" s="22">
        <f t="shared" si="4"/>
        <v>16.239870973488454</v>
      </c>
      <c r="AH10" s="22">
        <f t="shared" si="5"/>
        <v>2.0541237336955462</v>
      </c>
      <c r="AI10" s="22">
        <f t="shared" si="6"/>
        <v>4.1619217044092434</v>
      </c>
      <c r="AL10" s="20"/>
      <c r="AM10" s="20" t="s">
        <v>40</v>
      </c>
      <c r="AN10" s="20" t="s">
        <v>41</v>
      </c>
      <c r="AO10" s="20" t="s">
        <v>39</v>
      </c>
      <c r="AP10" s="20" t="s">
        <v>79</v>
      </c>
      <c r="AQ10" s="20" t="s">
        <v>80</v>
      </c>
    </row>
    <row r="11" spans="1:43" ht="15.75" x14ac:dyDescent="0.25">
      <c r="A11" s="26" t="s">
        <v>5</v>
      </c>
      <c r="B11" s="26">
        <v>15.62105869850768</v>
      </c>
      <c r="C11" s="31">
        <v>42484.746053000003</v>
      </c>
      <c r="D11" s="32">
        <v>36109487</v>
      </c>
      <c r="E11" s="32">
        <v>14.3</v>
      </c>
      <c r="F11" s="31">
        <v>124.523456</v>
      </c>
      <c r="G11" s="34">
        <v>20</v>
      </c>
      <c r="H11" s="34">
        <f t="shared" si="0"/>
        <v>2</v>
      </c>
      <c r="I11" s="34">
        <v>2</v>
      </c>
      <c r="J11" s="34">
        <f t="shared" si="1"/>
        <v>5</v>
      </c>
      <c r="K11" s="28"/>
      <c r="M11" s="27">
        <v>564068.41599999997</v>
      </c>
      <c r="N11" s="9"/>
      <c r="O11" s="9"/>
      <c r="P11" s="9" t="s">
        <v>41</v>
      </c>
      <c r="Q11" s="9">
        <v>0.51372591387716737</v>
      </c>
      <c r="R11" s="9">
        <v>1</v>
      </c>
      <c r="S11" s="9"/>
      <c r="T11" s="9"/>
      <c r="U11" s="9"/>
      <c r="V11" s="10"/>
      <c r="W11" s="10"/>
      <c r="X11" s="10"/>
      <c r="AD11" s="26" t="s">
        <v>5</v>
      </c>
      <c r="AE11" s="22">
        <f t="shared" si="2"/>
        <v>2.7486199205082658</v>
      </c>
      <c r="AF11" s="22">
        <f t="shared" si="3"/>
        <v>10.6569003740866</v>
      </c>
      <c r="AG11" s="22">
        <f t="shared" si="4"/>
        <v>17.402066186561754</v>
      </c>
      <c r="AH11" s="22">
        <f t="shared" si="5"/>
        <v>2.6602595372658615</v>
      </c>
      <c r="AI11" s="22">
        <f t="shared" si="6"/>
        <v>4.8244940997658343</v>
      </c>
      <c r="AL11" s="9" t="s">
        <v>40</v>
      </c>
      <c r="AM11" s="9">
        <v>1</v>
      </c>
      <c r="AN11" s="9"/>
      <c r="AO11" s="9"/>
      <c r="AP11" s="9"/>
      <c r="AQ11" s="9"/>
    </row>
    <row r="12" spans="1:43" ht="15.75" x14ac:dyDescent="0.25">
      <c r="A12" s="26" t="s">
        <v>6</v>
      </c>
      <c r="B12" s="26">
        <v>4.8378173523889032</v>
      </c>
      <c r="C12" s="31">
        <v>20867.083202000002</v>
      </c>
      <c r="D12" s="32">
        <v>18167147</v>
      </c>
      <c r="E12" s="32">
        <v>4.0999999999999996</v>
      </c>
      <c r="F12" s="31">
        <v>110.64983404661275</v>
      </c>
      <c r="G12" s="34">
        <v>57</v>
      </c>
      <c r="H12" s="34">
        <f t="shared" si="0"/>
        <v>3</v>
      </c>
      <c r="I12" s="34">
        <v>3</v>
      </c>
      <c r="J12" s="34">
        <f t="shared" si="1"/>
        <v>2</v>
      </c>
      <c r="K12" s="28"/>
      <c r="M12" s="27">
        <v>87889.339000000007</v>
      </c>
      <c r="N12" s="9"/>
      <c r="O12" s="9"/>
      <c r="P12" s="9" t="s">
        <v>39</v>
      </c>
      <c r="Q12" s="9">
        <v>0.27211791558799575</v>
      </c>
      <c r="R12" s="9">
        <v>1.5865904475072714E-2</v>
      </c>
      <c r="S12" s="9">
        <v>1</v>
      </c>
      <c r="T12" s="9"/>
      <c r="U12" s="9"/>
      <c r="V12" s="10"/>
      <c r="W12" s="10"/>
      <c r="X12" s="10"/>
      <c r="AD12" s="26" t="s">
        <v>6</v>
      </c>
      <c r="AE12" s="22">
        <f t="shared" si="2"/>
        <v>1.5764636587651599</v>
      </c>
      <c r="AF12" s="22">
        <f t="shared" si="3"/>
        <v>9.9459282299780352</v>
      </c>
      <c r="AG12" s="22">
        <f t="shared" si="4"/>
        <v>16.715125410982797</v>
      </c>
      <c r="AH12" s="22">
        <f t="shared" si="5"/>
        <v>1.410986973710262</v>
      </c>
      <c r="AI12" s="22">
        <f t="shared" si="6"/>
        <v>4.706370566691259</v>
      </c>
      <c r="AL12" s="9" t="s">
        <v>41</v>
      </c>
      <c r="AM12" s="9">
        <v>0.54415465551169995</v>
      </c>
      <c r="AN12" s="9">
        <v>1</v>
      </c>
      <c r="AO12" s="9"/>
      <c r="AP12" s="9"/>
      <c r="AQ12" s="9"/>
    </row>
    <row r="13" spans="1:43" ht="15.75" x14ac:dyDescent="0.25">
      <c r="A13" s="26" t="s">
        <v>7</v>
      </c>
      <c r="B13" s="26">
        <v>10.089566735735643</v>
      </c>
      <c r="C13" s="31">
        <v>30541.633258999998</v>
      </c>
      <c r="D13" s="32">
        <v>10565284</v>
      </c>
      <c r="E13" s="32">
        <v>6.6</v>
      </c>
      <c r="F13" s="31">
        <v>51.368102701557682</v>
      </c>
      <c r="G13" s="34">
        <v>59</v>
      </c>
      <c r="H13" s="34">
        <f t="shared" si="0"/>
        <v>3</v>
      </c>
      <c r="I13" s="34">
        <v>3</v>
      </c>
      <c r="J13" s="34">
        <f t="shared" si="1"/>
        <v>3</v>
      </c>
      <c r="K13" s="28"/>
      <c r="M13" s="27">
        <v>106599.13800000001</v>
      </c>
      <c r="N13" s="9"/>
      <c r="O13" s="9"/>
      <c r="P13" s="9" t="s">
        <v>79</v>
      </c>
      <c r="Q13" s="9">
        <v>0.3280588190475226</v>
      </c>
      <c r="R13" s="9">
        <v>0.3923494709558234</v>
      </c>
      <c r="S13" s="9">
        <v>-7.5536675237465795E-2</v>
      </c>
      <c r="T13" s="9">
        <v>1</v>
      </c>
      <c r="U13" s="9"/>
      <c r="V13" s="10"/>
      <c r="W13" s="10"/>
      <c r="X13" s="10"/>
      <c r="AD13" s="26" t="s">
        <v>7</v>
      </c>
      <c r="AE13" s="22">
        <f t="shared" si="2"/>
        <v>2.3115018934768359</v>
      </c>
      <c r="AF13" s="22">
        <f t="shared" si="3"/>
        <v>10.326846056681227</v>
      </c>
      <c r="AG13" s="22">
        <f t="shared" si="4"/>
        <v>16.173084089882547</v>
      </c>
      <c r="AH13" s="22">
        <f t="shared" si="5"/>
        <v>1.8870696490323797</v>
      </c>
      <c r="AI13" s="22">
        <f t="shared" si="6"/>
        <v>3.9390174098192472</v>
      </c>
      <c r="AL13" s="9" t="s">
        <v>39</v>
      </c>
      <c r="AM13" s="9">
        <v>-1.5139683604294648E-2</v>
      </c>
      <c r="AN13" s="9">
        <v>-0.18324073237447824</v>
      </c>
      <c r="AO13" s="9">
        <v>1</v>
      </c>
      <c r="AP13" s="9"/>
      <c r="AQ13" s="9"/>
    </row>
    <row r="14" spans="1:43" ht="16.5" thickBot="1" x14ac:dyDescent="0.3">
      <c r="A14" s="26" t="s">
        <v>8</v>
      </c>
      <c r="B14" s="26">
        <v>6.6957331840789767</v>
      </c>
      <c r="C14" s="31">
        <v>45458.317839000003</v>
      </c>
      <c r="D14" s="32">
        <v>5724456</v>
      </c>
      <c r="E14" s="32">
        <v>5.9</v>
      </c>
      <c r="F14" s="31">
        <v>167.16308232467193</v>
      </c>
      <c r="G14" s="34">
        <v>37</v>
      </c>
      <c r="H14" s="34">
        <f t="shared" si="0"/>
        <v>2</v>
      </c>
      <c r="I14" s="34">
        <v>2</v>
      </c>
      <c r="J14" s="34">
        <f t="shared" si="1"/>
        <v>2</v>
      </c>
      <c r="K14" s="28"/>
      <c r="M14" s="27">
        <v>38329.43</v>
      </c>
      <c r="N14" s="9"/>
      <c r="O14" s="9"/>
      <c r="P14" s="19" t="s">
        <v>80</v>
      </c>
      <c r="Q14" s="19">
        <v>0.32386739497981271</v>
      </c>
      <c r="R14" s="19">
        <v>0.42830128923490068</v>
      </c>
      <c r="S14" s="19">
        <v>0.34068093481121631</v>
      </c>
      <c r="T14" s="19">
        <v>0.1803957345255226</v>
      </c>
      <c r="U14" s="19">
        <v>1</v>
      </c>
      <c r="V14" s="10"/>
      <c r="W14" s="10"/>
      <c r="X14" s="10"/>
      <c r="AD14" s="26" t="s">
        <v>8</v>
      </c>
      <c r="AE14" s="22">
        <f t="shared" si="2"/>
        <v>1.9014704853321742</v>
      </c>
      <c r="AF14" s="22">
        <f t="shared" si="3"/>
        <v>10.724551093620274</v>
      </c>
      <c r="AG14" s="22">
        <f t="shared" si="4"/>
        <v>15.560258081055656</v>
      </c>
      <c r="AH14" s="22">
        <f t="shared" si="5"/>
        <v>1.7749523509116738</v>
      </c>
      <c r="AI14" s="22">
        <f t="shared" si="6"/>
        <v>5.1189698767772152</v>
      </c>
      <c r="AL14" s="9" t="s">
        <v>79</v>
      </c>
      <c r="AM14" s="9">
        <v>0.57675494839725661</v>
      </c>
      <c r="AN14" s="9">
        <v>0.67888424448563256</v>
      </c>
      <c r="AO14" s="9">
        <v>-0.34891854431990682</v>
      </c>
      <c r="AP14" s="9">
        <v>1</v>
      </c>
      <c r="AQ14" s="9"/>
    </row>
    <row r="15" spans="1:43" ht="16.5" thickBot="1" x14ac:dyDescent="0.3">
      <c r="A15" s="26" t="s">
        <v>9</v>
      </c>
      <c r="B15" s="26">
        <v>13.282883286846685</v>
      </c>
      <c r="C15" s="31">
        <v>27106.840413000002</v>
      </c>
      <c r="D15" s="32">
        <v>1315790</v>
      </c>
      <c r="E15" s="32">
        <v>7.1</v>
      </c>
      <c r="F15" s="31">
        <v>70.009903034531746</v>
      </c>
      <c r="G15" s="34">
        <v>87</v>
      </c>
      <c r="H15" s="34">
        <f t="shared" si="0"/>
        <v>5</v>
      </c>
      <c r="I15" s="34">
        <v>5</v>
      </c>
      <c r="J15" s="34">
        <f t="shared" si="1"/>
        <v>4</v>
      </c>
      <c r="K15" s="28"/>
      <c r="M15" s="27">
        <v>17477.485000000001</v>
      </c>
      <c r="N15" s="10"/>
      <c r="O15" s="9"/>
      <c r="P15" s="9"/>
      <c r="Q15" s="9"/>
      <c r="R15" s="9"/>
      <c r="S15" s="9"/>
      <c r="T15" s="9"/>
      <c r="U15" s="10"/>
      <c r="V15" s="10"/>
      <c r="W15" s="10"/>
      <c r="X15" s="10"/>
      <c r="AD15" s="26" t="s">
        <v>9</v>
      </c>
      <c r="AE15" s="22">
        <f t="shared" si="2"/>
        <v>2.5864762354556379</v>
      </c>
      <c r="AF15" s="22">
        <f t="shared" si="3"/>
        <v>10.207541388780635</v>
      </c>
      <c r="AG15" s="22">
        <f t="shared" si="4"/>
        <v>14.089947803665954</v>
      </c>
      <c r="AH15" s="22">
        <f t="shared" si="5"/>
        <v>1.9600947840472698</v>
      </c>
      <c r="AI15" s="22">
        <f t="shared" si="6"/>
        <v>4.2486367039650323</v>
      </c>
      <c r="AL15" s="19" t="s">
        <v>80</v>
      </c>
      <c r="AM15" s="19">
        <v>0.33117471864552156</v>
      </c>
      <c r="AN15" s="19">
        <v>0.52250661058706716</v>
      </c>
      <c r="AO15" s="19">
        <v>0.23920709689794756</v>
      </c>
      <c r="AP15" s="19">
        <v>0.46344104331786179</v>
      </c>
      <c r="AQ15" s="19">
        <v>1</v>
      </c>
    </row>
    <row r="16" spans="1:43" ht="15.75" x14ac:dyDescent="0.25">
      <c r="A16" s="26" t="s">
        <v>10</v>
      </c>
      <c r="B16" s="26">
        <v>8.5966622004233813</v>
      </c>
      <c r="C16" s="31">
        <v>38935.647353</v>
      </c>
      <c r="D16" s="32">
        <v>5495297</v>
      </c>
      <c r="E16" s="32">
        <v>15.5</v>
      </c>
      <c r="F16" s="31">
        <v>94.628204356860877</v>
      </c>
      <c r="G16" s="34">
        <v>21</v>
      </c>
      <c r="H16" s="34">
        <f t="shared" si="0"/>
        <v>2</v>
      </c>
      <c r="I16" s="34">
        <v>2</v>
      </c>
      <c r="J16" s="34">
        <f t="shared" si="1"/>
        <v>1</v>
      </c>
      <c r="K16" s="28"/>
      <c r="M16" s="27">
        <v>47241.212</v>
      </c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AD16" s="26" t="s">
        <v>10</v>
      </c>
      <c r="AE16" s="22">
        <f t="shared" si="2"/>
        <v>2.1513740116930253</v>
      </c>
      <c r="AF16" s="22">
        <f t="shared" si="3"/>
        <v>10.569665494378583</v>
      </c>
      <c r="AG16" s="22">
        <f t="shared" si="4"/>
        <v>15.519403193494835</v>
      </c>
      <c r="AH16" s="22">
        <f t="shared" si="5"/>
        <v>2.7408400239252009</v>
      </c>
      <c r="AI16" s="22">
        <f t="shared" si="6"/>
        <v>4.5499555749291458</v>
      </c>
      <c r="AL16" s="10"/>
      <c r="AM16" s="10"/>
      <c r="AN16" s="10"/>
      <c r="AO16" s="10"/>
      <c r="AP16" s="10"/>
      <c r="AQ16" s="10"/>
    </row>
    <row r="17" spans="1:43" ht="15.75" x14ac:dyDescent="0.25">
      <c r="A17" s="26" t="s">
        <v>11</v>
      </c>
      <c r="B17" s="26">
        <v>5.2372349143809762</v>
      </c>
      <c r="C17" s="31">
        <v>37168.781050999998</v>
      </c>
      <c r="D17" s="32">
        <v>66685530</v>
      </c>
      <c r="E17" s="32">
        <v>7.2</v>
      </c>
      <c r="F17" s="31">
        <v>97.374323505939003</v>
      </c>
      <c r="G17" s="34">
        <v>10</v>
      </c>
      <c r="H17" s="34">
        <f t="shared" si="0"/>
        <v>1</v>
      </c>
      <c r="I17" s="34">
        <v>1</v>
      </c>
      <c r="J17" s="34">
        <f t="shared" si="1"/>
        <v>2</v>
      </c>
      <c r="K17" s="28"/>
      <c r="M17" s="27">
        <v>349247.78600000002</v>
      </c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AD17" s="26" t="s">
        <v>11</v>
      </c>
      <c r="AE17" s="22">
        <f t="shared" si="2"/>
        <v>1.6557936709613559</v>
      </c>
      <c r="AF17" s="22">
        <f t="shared" si="3"/>
        <v>10.523224468860642</v>
      </c>
      <c r="AG17" s="22">
        <f t="shared" si="4"/>
        <v>18.015498545821398</v>
      </c>
      <c r="AH17" s="22">
        <f t="shared" si="5"/>
        <v>1.9740810260220096</v>
      </c>
      <c r="AI17" s="22">
        <f t="shared" si="6"/>
        <v>4.5785625568593495</v>
      </c>
    </row>
    <row r="18" spans="1:43" ht="15.75" x14ac:dyDescent="0.25">
      <c r="A18" s="26" t="s">
        <v>12</v>
      </c>
      <c r="B18" s="26">
        <v>9.7348850774989444</v>
      </c>
      <c r="C18" s="31">
        <v>43101.735633999997</v>
      </c>
      <c r="D18" s="32">
        <v>82348669</v>
      </c>
      <c r="E18" s="32">
        <v>7</v>
      </c>
      <c r="F18" s="31">
        <v>76.841458976184825</v>
      </c>
      <c r="G18" s="34">
        <v>56</v>
      </c>
      <c r="H18" s="34">
        <f t="shared" si="0"/>
        <v>3</v>
      </c>
      <c r="I18" s="34">
        <v>3</v>
      </c>
      <c r="J18" s="34">
        <f t="shared" si="1"/>
        <v>3</v>
      </c>
      <c r="K18" s="28"/>
      <c r="M18" s="27">
        <v>801654.82900000003</v>
      </c>
      <c r="N18" s="12"/>
      <c r="O18" s="10"/>
      <c r="P18" s="10"/>
      <c r="Q18" s="10"/>
      <c r="R18" s="10"/>
      <c r="S18" s="10"/>
      <c r="T18" s="10"/>
      <c r="U18" s="10"/>
      <c r="V18" s="10"/>
      <c r="W18" s="10"/>
      <c r="X18" s="10"/>
      <c r="AD18" s="26" t="s">
        <v>12</v>
      </c>
      <c r="AE18" s="22">
        <f t="shared" si="2"/>
        <v>2.2757158336696284</v>
      </c>
      <c r="AF18" s="22">
        <f t="shared" si="3"/>
        <v>10.671318545211422</v>
      </c>
      <c r="AG18" s="22">
        <f t="shared" si="4"/>
        <v>18.22647285173721</v>
      </c>
      <c r="AH18" s="22">
        <f t="shared" si="5"/>
        <v>1.9459101490553132</v>
      </c>
      <c r="AI18" s="22">
        <f t="shared" si="6"/>
        <v>4.3417443249166761</v>
      </c>
    </row>
    <row r="19" spans="1:43" ht="15.75" x14ac:dyDescent="0.25">
      <c r="A19" s="26" t="s">
        <v>13</v>
      </c>
      <c r="B19" s="26">
        <v>6.6228304623314225</v>
      </c>
      <c r="C19" s="31">
        <v>23702.527211000001</v>
      </c>
      <c r="D19" s="32">
        <v>10775971</v>
      </c>
      <c r="E19" s="32">
        <v>5.6</v>
      </c>
      <c r="F19" s="31">
        <v>107.37163842815562</v>
      </c>
      <c r="G19" s="34">
        <v>72</v>
      </c>
      <c r="H19" s="34">
        <f t="shared" si="0"/>
        <v>4</v>
      </c>
      <c r="I19" s="34">
        <v>4</v>
      </c>
      <c r="J19" s="34">
        <f t="shared" si="1"/>
        <v>1</v>
      </c>
      <c r="K19" s="28"/>
      <c r="M19" s="27">
        <v>71367.429000000004</v>
      </c>
      <c r="N19" s="9"/>
      <c r="O19" s="10"/>
      <c r="P19" s="10"/>
      <c r="Q19" s="10"/>
      <c r="R19" s="10"/>
      <c r="S19" s="10"/>
      <c r="T19" s="10"/>
      <c r="U19" s="10"/>
      <c r="V19" s="10"/>
      <c r="W19" s="10"/>
      <c r="X19" s="10"/>
      <c r="AD19" s="26" t="s">
        <v>13</v>
      </c>
      <c r="AE19" s="22">
        <f t="shared" si="2"/>
        <v>1.8905228408559218</v>
      </c>
      <c r="AF19" s="22">
        <f t="shared" si="3"/>
        <v>10.073336954813815</v>
      </c>
      <c r="AG19" s="22">
        <f t="shared" si="4"/>
        <v>16.192829305903164</v>
      </c>
      <c r="AH19" s="22">
        <f t="shared" si="5"/>
        <v>1.7227665977411035</v>
      </c>
      <c r="AI19" s="22">
        <f t="shared" si="6"/>
        <v>4.6762960729752869</v>
      </c>
      <c r="AL19" t="s">
        <v>51</v>
      </c>
    </row>
    <row r="20" spans="1:43" ht="16.5" thickBot="1" x14ac:dyDescent="0.3">
      <c r="A20" s="26" t="s">
        <v>14</v>
      </c>
      <c r="B20" s="26">
        <v>4.8329098577892502</v>
      </c>
      <c r="C20" s="31">
        <v>24725.730743</v>
      </c>
      <c r="D20" s="32">
        <v>9814026</v>
      </c>
      <c r="E20" s="32">
        <v>4.3</v>
      </c>
      <c r="F20" s="31">
        <v>34.105960880962847</v>
      </c>
      <c r="G20" s="34">
        <v>39</v>
      </c>
      <c r="H20" s="34">
        <f t="shared" si="0"/>
        <v>2</v>
      </c>
      <c r="I20" s="34">
        <v>2</v>
      </c>
      <c r="J20" s="34">
        <f t="shared" si="1"/>
        <v>2</v>
      </c>
      <c r="K20" s="28"/>
      <c r="M20" s="27">
        <v>47430.303</v>
      </c>
      <c r="N20" s="9"/>
      <c r="O20" s="10"/>
      <c r="P20" s="10"/>
      <c r="Q20" s="10"/>
      <c r="R20" s="10"/>
      <c r="S20" s="10"/>
      <c r="T20" s="10"/>
      <c r="U20" s="10"/>
      <c r="V20" s="10"/>
      <c r="W20" s="10"/>
      <c r="X20" s="10"/>
      <c r="AD20" s="26" t="s">
        <v>14</v>
      </c>
      <c r="AE20" s="22">
        <f t="shared" si="2"/>
        <v>1.5754487412901352</v>
      </c>
      <c r="AF20" s="22">
        <f t="shared" si="3"/>
        <v>10.11559971087723</v>
      </c>
      <c r="AG20" s="22">
        <f t="shared" si="4"/>
        <v>16.099323144905021</v>
      </c>
      <c r="AH20" s="22">
        <f t="shared" si="5"/>
        <v>1.4586150226995167</v>
      </c>
      <c r="AI20" s="22">
        <f t="shared" si="6"/>
        <v>3.52947217490604</v>
      </c>
    </row>
    <row r="21" spans="1:43" ht="15.75" x14ac:dyDescent="0.25">
      <c r="A21" s="26" t="s">
        <v>15</v>
      </c>
      <c r="B21" s="26">
        <v>10.404322745092193</v>
      </c>
      <c r="C21" s="31">
        <v>45984.718545000003</v>
      </c>
      <c r="D21" s="32">
        <v>335435</v>
      </c>
      <c r="E21" s="32">
        <v>54.4</v>
      </c>
      <c r="F21" s="31">
        <v>84.502581233489195</v>
      </c>
      <c r="G21" s="34">
        <v>0</v>
      </c>
      <c r="H21" s="34">
        <f t="shared" si="0"/>
        <v>1</v>
      </c>
      <c r="I21" s="34">
        <v>1</v>
      </c>
      <c r="J21" s="34">
        <f t="shared" si="1"/>
        <v>3</v>
      </c>
      <c r="K21" s="28"/>
      <c r="M21" s="27">
        <v>3489.9740000000002</v>
      </c>
      <c r="N21" s="9"/>
      <c r="O21" s="12"/>
      <c r="P21" s="12"/>
      <c r="Q21" s="10"/>
      <c r="R21" s="10"/>
      <c r="S21" s="10"/>
      <c r="T21" s="10"/>
      <c r="U21" s="10"/>
      <c r="V21" s="10"/>
      <c r="W21" s="10"/>
      <c r="X21" s="10"/>
      <c r="AD21" s="26" t="s">
        <v>15</v>
      </c>
      <c r="AE21" s="22">
        <f t="shared" si="2"/>
        <v>2.3422213683559474</v>
      </c>
      <c r="AF21" s="22">
        <f t="shared" si="3"/>
        <v>10.736064414735269</v>
      </c>
      <c r="AG21" s="22">
        <f t="shared" si="4"/>
        <v>12.723183475938178</v>
      </c>
      <c r="AH21" s="22">
        <f t="shared" si="5"/>
        <v>3.9963641538618968</v>
      </c>
      <c r="AI21" s="22">
        <f t="shared" si="6"/>
        <v>4.4367820810384577</v>
      </c>
      <c r="AL21" s="23" t="s">
        <v>52</v>
      </c>
      <c r="AM21" s="23"/>
    </row>
    <row r="22" spans="1:43" ht="15.75" x14ac:dyDescent="0.25">
      <c r="A22" s="26" t="s">
        <v>16</v>
      </c>
      <c r="B22" s="26">
        <v>8.4173270427844376</v>
      </c>
      <c r="C22" s="31">
        <v>59694.094517999998</v>
      </c>
      <c r="D22" s="32">
        <v>4739597</v>
      </c>
      <c r="E22" s="32">
        <v>5.8</v>
      </c>
      <c r="F22" s="31">
        <v>48.128039890917549</v>
      </c>
      <c r="G22" s="34">
        <v>75</v>
      </c>
      <c r="H22" s="34">
        <f t="shared" si="0"/>
        <v>4</v>
      </c>
      <c r="I22" s="34">
        <v>4</v>
      </c>
      <c r="J22" s="34">
        <f t="shared" si="1"/>
        <v>2</v>
      </c>
      <c r="K22" s="28"/>
      <c r="M22" s="27">
        <v>39894.737999999998</v>
      </c>
      <c r="N22" s="9"/>
      <c r="O22" s="9"/>
      <c r="P22" s="9"/>
      <c r="Q22" s="10"/>
      <c r="R22" s="10"/>
      <c r="S22" s="10"/>
      <c r="T22" s="10"/>
      <c r="U22" s="10"/>
      <c r="V22" s="10"/>
      <c r="W22" s="10"/>
      <c r="X22" s="10"/>
      <c r="AD22" s="26" t="s">
        <v>16</v>
      </c>
      <c r="AE22" s="22">
        <f t="shared" si="2"/>
        <v>2.1302923245042371</v>
      </c>
      <c r="AF22" s="22">
        <f t="shared" si="3"/>
        <v>10.996988375191375</v>
      </c>
      <c r="AG22" s="22">
        <f t="shared" si="4"/>
        <v>15.371462668959715</v>
      </c>
      <c r="AH22" s="22">
        <f t="shared" si="5"/>
        <v>1.7578579175523736</v>
      </c>
      <c r="AI22" s="22">
        <f t="shared" si="6"/>
        <v>3.8738649571775454</v>
      </c>
      <c r="AL22" s="9" t="s">
        <v>53</v>
      </c>
      <c r="AM22" s="9">
        <v>0.64671529233798419</v>
      </c>
    </row>
    <row r="23" spans="1:43" ht="15.75" x14ac:dyDescent="0.25">
      <c r="A23" s="26" t="s">
        <v>17</v>
      </c>
      <c r="B23" s="26">
        <v>7.7388466358975281</v>
      </c>
      <c r="C23" s="31">
        <v>31967.073983999999</v>
      </c>
      <c r="D23" s="32">
        <v>8546009</v>
      </c>
      <c r="E23" s="32">
        <v>6.9</v>
      </c>
      <c r="F23" s="31">
        <v>65.247528030465006</v>
      </c>
      <c r="G23" s="34">
        <v>98</v>
      </c>
      <c r="H23" s="34">
        <f t="shared" si="0"/>
        <v>5</v>
      </c>
      <c r="I23" s="34">
        <v>5</v>
      </c>
      <c r="J23" s="34">
        <f t="shared" si="1"/>
        <v>1</v>
      </c>
      <c r="K23" s="28"/>
      <c r="M23" s="27">
        <v>66136.252999999997</v>
      </c>
      <c r="N23" s="9"/>
      <c r="O23" s="9"/>
      <c r="P23" s="9"/>
      <c r="Q23" s="10"/>
      <c r="R23" s="10"/>
      <c r="S23" s="10"/>
      <c r="T23" s="10"/>
      <c r="U23" s="10"/>
      <c r="V23" s="10"/>
      <c r="W23" s="10"/>
      <c r="X23" s="10"/>
      <c r="AD23" s="26" t="s">
        <v>17</v>
      </c>
      <c r="AE23" s="22">
        <f t="shared" si="2"/>
        <v>2.0462526630480968</v>
      </c>
      <c r="AF23" s="22">
        <f t="shared" si="3"/>
        <v>10.372461714061762</v>
      </c>
      <c r="AG23" s="22">
        <f t="shared" si="4"/>
        <v>15.960974948309822</v>
      </c>
      <c r="AH23" s="22">
        <f t="shared" si="5"/>
        <v>1.9315214116032138</v>
      </c>
      <c r="AI23" s="22">
        <f t="shared" si="6"/>
        <v>4.1781881608945888</v>
      </c>
      <c r="AL23" s="9" t="s">
        <v>54</v>
      </c>
      <c r="AM23" s="9">
        <v>0.41824066934380433</v>
      </c>
    </row>
    <row r="24" spans="1:43" ht="15.75" x14ac:dyDescent="0.25">
      <c r="A24" s="26" t="s">
        <v>18</v>
      </c>
      <c r="B24" s="26">
        <v>5.8304779511421003</v>
      </c>
      <c r="C24" s="31">
        <v>33590.400777000003</v>
      </c>
      <c r="D24" s="32">
        <v>60627494</v>
      </c>
      <c r="E24" s="32">
        <v>5.2</v>
      </c>
      <c r="F24" s="31">
        <v>85.243374457931708</v>
      </c>
      <c r="G24" s="34">
        <v>61</v>
      </c>
      <c r="H24" s="34">
        <f t="shared" si="0"/>
        <v>4</v>
      </c>
      <c r="I24" s="34">
        <v>4</v>
      </c>
      <c r="J24" s="34">
        <f t="shared" si="1"/>
        <v>2</v>
      </c>
      <c r="K24" s="28"/>
      <c r="M24" s="27">
        <v>353487.26699999999</v>
      </c>
      <c r="N24" s="10"/>
      <c r="O24" s="9"/>
      <c r="P24" s="9"/>
      <c r="Q24" s="10"/>
      <c r="R24" s="10"/>
      <c r="S24" s="10"/>
      <c r="T24" s="10"/>
      <c r="U24" s="10"/>
      <c r="V24" s="10"/>
      <c r="W24" s="10"/>
      <c r="X24" s="10"/>
      <c r="AD24" s="26" t="s">
        <v>18</v>
      </c>
      <c r="AE24" s="22">
        <f t="shared" si="2"/>
        <v>1.7630989783300917</v>
      </c>
      <c r="AF24" s="22">
        <f t="shared" si="3"/>
        <v>10.421995613973088</v>
      </c>
      <c r="AG24" s="22">
        <f t="shared" si="4"/>
        <v>17.920259044520101</v>
      </c>
      <c r="AH24" s="22">
        <f t="shared" si="5"/>
        <v>1.6486586255873816</v>
      </c>
      <c r="AI24" s="22">
        <f t="shared" si="6"/>
        <v>4.445510394174808</v>
      </c>
      <c r="AL24" s="9" t="s">
        <v>55</v>
      </c>
      <c r="AM24" s="9">
        <v>0.34317494925913394</v>
      </c>
    </row>
    <row r="25" spans="1:43" ht="15.75" x14ac:dyDescent="0.25">
      <c r="A25" s="26" t="s">
        <v>19</v>
      </c>
      <c r="B25" s="26">
        <v>9.5023976786704072</v>
      </c>
      <c r="C25" s="31">
        <v>37313.392297999999</v>
      </c>
      <c r="D25" s="32">
        <v>126932772</v>
      </c>
      <c r="E25" s="32">
        <v>8.1</v>
      </c>
      <c r="F25" s="31">
        <v>163.93154751687729</v>
      </c>
      <c r="G25" s="34">
        <v>80</v>
      </c>
      <c r="H25" s="34">
        <f t="shared" si="0"/>
        <v>5</v>
      </c>
      <c r="I25" s="34">
        <v>5</v>
      </c>
      <c r="J25" s="34">
        <f t="shared" si="1"/>
        <v>3</v>
      </c>
      <c r="K25" s="28"/>
      <c r="M25" s="27">
        <v>1206165.6780000001</v>
      </c>
      <c r="N25" s="10"/>
      <c r="O25" s="9"/>
      <c r="P25" s="9"/>
      <c r="Q25" s="10"/>
      <c r="R25" s="10"/>
      <c r="S25" s="10"/>
      <c r="T25" s="10"/>
      <c r="U25" s="10"/>
      <c r="V25" s="10"/>
      <c r="W25" s="10"/>
      <c r="X25" s="10"/>
      <c r="AD25" s="26" t="s">
        <v>19</v>
      </c>
      <c r="AE25" s="22">
        <f t="shared" si="2"/>
        <v>2.2515441539906607</v>
      </c>
      <c r="AF25" s="22">
        <f t="shared" si="3"/>
        <v>10.527107584033272</v>
      </c>
      <c r="AG25" s="22">
        <f t="shared" si="4"/>
        <v>18.65916814993469</v>
      </c>
      <c r="AH25" s="22">
        <f t="shared" si="5"/>
        <v>2.0918640616783932</v>
      </c>
      <c r="AI25" s="22">
        <f t="shared" si="6"/>
        <v>5.0994489475016413</v>
      </c>
      <c r="AL25" s="9" t="s">
        <v>56</v>
      </c>
      <c r="AM25" s="9">
        <v>0.3401919960679895</v>
      </c>
    </row>
    <row r="26" spans="1:43" ht="16.5" thickBot="1" x14ac:dyDescent="0.3">
      <c r="A26" s="26" t="s">
        <v>20</v>
      </c>
      <c r="B26" s="26">
        <v>12.442017826000528</v>
      </c>
      <c r="C26" s="31">
        <v>35035.410888999999</v>
      </c>
      <c r="D26" s="32">
        <v>51245707</v>
      </c>
      <c r="E26" s="32">
        <v>10.7</v>
      </c>
      <c r="F26" s="31">
        <v>150.33420000000001</v>
      </c>
      <c r="G26" s="34">
        <v>68</v>
      </c>
      <c r="H26" s="34">
        <f t="shared" si="0"/>
        <v>4</v>
      </c>
      <c r="I26" s="34">
        <v>4</v>
      </c>
      <c r="J26" s="34">
        <f t="shared" si="1"/>
        <v>4</v>
      </c>
      <c r="K26" s="28"/>
      <c r="M26" s="27">
        <v>637600</v>
      </c>
      <c r="N26" s="11"/>
      <c r="O26" s="9"/>
      <c r="P26" s="9"/>
      <c r="Q26" s="10"/>
      <c r="R26" s="10"/>
      <c r="S26" s="10"/>
      <c r="T26" s="10"/>
      <c r="U26" s="10"/>
      <c r="V26" s="10"/>
      <c r="W26" s="10"/>
      <c r="X26" s="10"/>
      <c r="AD26" s="26" t="s">
        <v>20</v>
      </c>
      <c r="AE26" s="22">
        <f t="shared" si="2"/>
        <v>2.5210792788197014</v>
      </c>
      <c r="AF26" s="22">
        <f t="shared" si="3"/>
        <v>10.464114568693619</v>
      </c>
      <c r="AG26" s="22">
        <f t="shared" si="4"/>
        <v>17.752142406620578</v>
      </c>
      <c r="AH26" s="22">
        <f t="shared" si="5"/>
        <v>2.3702437414678603</v>
      </c>
      <c r="AI26" s="22">
        <f t="shared" si="6"/>
        <v>5.0128608157846921</v>
      </c>
      <c r="AL26" s="19" t="s">
        <v>57</v>
      </c>
      <c r="AM26" s="19">
        <v>36</v>
      </c>
    </row>
    <row r="27" spans="1:43" ht="15.75" x14ac:dyDescent="0.25">
      <c r="A27" s="26" t="s">
        <v>21</v>
      </c>
      <c r="B27" s="26">
        <v>3.6908378773535557</v>
      </c>
      <c r="C27" s="31">
        <v>22811.305552999998</v>
      </c>
      <c r="D27" s="32">
        <v>1959535</v>
      </c>
      <c r="E27" s="32">
        <v>3.6</v>
      </c>
      <c r="F27" s="31">
        <v>47.324668473702957</v>
      </c>
      <c r="G27" s="34">
        <v>46</v>
      </c>
      <c r="H27" s="34">
        <f t="shared" si="0"/>
        <v>3</v>
      </c>
      <c r="I27" s="34">
        <v>3</v>
      </c>
      <c r="J27" s="34">
        <f t="shared" si="1"/>
        <v>1</v>
      </c>
      <c r="K27" s="28"/>
      <c r="M27" s="27">
        <v>7232.326</v>
      </c>
      <c r="N27" s="9"/>
      <c r="O27" s="10"/>
      <c r="P27" s="10"/>
      <c r="Q27" s="10"/>
      <c r="R27" s="10"/>
      <c r="S27" s="10"/>
      <c r="T27" s="10"/>
      <c r="U27" s="10"/>
      <c r="V27" s="10"/>
      <c r="W27" s="10"/>
      <c r="X27" s="10"/>
      <c r="AD27" s="26" t="s">
        <v>21</v>
      </c>
      <c r="AE27" s="22">
        <f t="shared" si="2"/>
        <v>1.3058534993101027</v>
      </c>
      <c r="AF27" s="22">
        <f t="shared" si="3"/>
        <v>10.035011549633502</v>
      </c>
      <c r="AG27" s="22">
        <f t="shared" si="4"/>
        <v>14.488217758161719</v>
      </c>
      <c r="AH27" s="22">
        <f t="shared" si="5"/>
        <v>1.2809338454620642</v>
      </c>
      <c r="AI27" s="22">
        <f t="shared" si="6"/>
        <v>3.8570316917608221</v>
      </c>
    </row>
    <row r="28" spans="1:43" ht="16.5" thickBot="1" x14ac:dyDescent="0.3">
      <c r="A28" s="26" t="s">
        <v>22</v>
      </c>
      <c r="B28" s="26">
        <v>4.5746455833101489</v>
      </c>
      <c r="C28" s="31">
        <v>26728.625937000001</v>
      </c>
      <c r="D28" s="32">
        <v>2868234</v>
      </c>
      <c r="E28" s="32">
        <v>4.2</v>
      </c>
      <c r="F28" s="31">
        <v>42.73421530212223</v>
      </c>
      <c r="G28" s="34">
        <v>33</v>
      </c>
      <c r="H28" s="34">
        <f t="shared" si="0"/>
        <v>2</v>
      </c>
      <c r="I28" s="34">
        <v>2</v>
      </c>
      <c r="J28" s="34">
        <f t="shared" si="1"/>
        <v>2</v>
      </c>
      <c r="K28" s="28"/>
      <c r="M28" s="27">
        <v>13121.154</v>
      </c>
      <c r="N28" s="9"/>
      <c r="O28" s="10"/>
      <c r="P28" s="10"/>
      <c r="Q28" s="10"/>
      <c r="R28" s="10"/>
      <c r="S28" s="10"/>
      <c r="T28" s="10"/>
      <c r="U28" s="10"/>
      <c r="V28" s="10"/>
      <c r="W28" s="10"/>
      <c r="X28" s="10"/>
      <c r="AD28" s="26" t="s">
        <v>22</v>
      </c>
      <c r="AE28" s="22">
        <f t="shared" si="2"/>
        <v>1.5205292275977449</v>
      </c>
      <c r="AF28" s="22">
        <f t="shared" si="3"/>
        <v>10.193490402536696</v>
      </c>
      <c r="AG28" s="22">
        <f t="shared" si="4"/>
        <v>14.869207067331528</v>
      </c>
      <c r="AH28" s="22">
        <f t="shared" si="5"/>
        <v>1.4350845252893227</v>
      </c>
      <c r="AI28" s="22">
        <f t="shared" si="6"/>
        <v>3.7549998945006968</v>
      </c>
      <c r="AL28" t="s">
        <v>58</v>
      </c>
    </row>
    <row r="29" spans="1:43" ht="15.75" x14ac:dyDescent="0.25">
      <c r="A29" s="26" t="s">
        <v>23</v>
      </c>
      <c r="B29" s="26">
        <v>15.555490617164187</v>
      </c>
      <c r="C29" s="31">
        <v>87347.416563000006</v>
      </c>
      <c r="D29" s="32">
        <v>583459</v>
      </c>
      <c r="E29" s="32">
        <v>13.8</v>
      </c>
      <c r="F29" s="31">
        <v>101.87976562982502</v>
      </c>
      <c r="G29" s="34">
        <v>33</v>
      </c>
      <c r="H29" s="34">
        <f t="shared" si="0"/>
        <v>2</v>
      </c>
      <c r="I29" s="34">
        <v>2</v>
      </c>
      <c r="J29" s="34">
        <f t="shared" si="1"/>
        <v>5</v>
      </c>
      <c r="K29" s="28"/>
      <c r="M29" s="27">
        <v>9075.991</v>
      </c>
      <c r="N29" s="9"/>
      <c r="O29" s="11"/>
      <c r="P29" s="11"/>
      <c r="Q29" s="11"/>
      <c r="R29" s="11"/>
      <c r="S29" s="11"/>
      <c r="T29" s="11"/>
      <c r="U29" s="10"/>
      <c r="V29" s="10"/>
      <c r="W29" s="10"/>
      <c r="X29" s="10"/>
      <c r="AD29" s="26" t="s">
        <v>23</v>
      </c>
      <c r="AE29" s="22">
        <f t="shared" si="2"/>
        <v>2.7444136706534974</v>
      </c>
      <c r="AF29" s="22">
        <f t="shared" si="3"/>
        <v>11.377648739429356</v>
      </c>
      <c r="AG29" s="22">
        <f t="shared" si="4"/>
        <v>13.276729462601613</v>
      </c>
      <c r="AH29" s="22">
        <f t="shared" si="5"/>
        <v>2.6246685921631592</v>
      </c>
      <c r="AI29" s="22">
        <f t="shared" si="6"/>
        <v>4.6237933496553811</v>
      </c>
      <c r="AL29" s="20"/>
      <c r="AM29" s="20" t="s">
        <v>63</v>
      </c>
      <c r="AN29" s="20" t="s">
        <v>64</v>
      </c>
      <c r="AO29" s="20" t="s">
        <v>65</v>
      </c>
      <c r="AP29" s="20" t="s">
        <v>66</v>
      </c>
      <c r="AQ29" s="20" t="s">
        <v>67</v>
      </c>
    </row>
    <row r="30" spans="1:43" ht="15.75" x14ac:dyDescent="0.25">
      <c r="A30" s="26" t="s">
        <v>24</v>
      </c>
      <c r="B30" s="26">
        <v>4.102783873533479</v>
      </c>
      <c r="C30" s="31">
        <v>16967.780354999999</v>
      </c>
      <c r="D30" s="32">
        <v>122715165</v>
      </c>
      <c r="E30" s="32">
        <v>2.2999999999999998</v>
      </c>
      <c r="F30" s="31">
        <v>34.002596047351766</v>
      </c>
      <c r="G30" s="34">
        <v>81</v>
      </c>
      <c r="H30" s="34">
        <f t="shared" si="0"/>
        <v>5</v>
      </c>
      <c r="I30" s="34">
        <v>5</v>
      </c>
      <c r="J30" s="34">
        <f t="shared" si="1"/>
        <v>2</v>
      </c>
      <c r="K30" s="28"/>
      <c r="M30" s="27">
        <v>503473.8</v>
      </c>
      <c r="N30" s="10"/>
      <c r="O30" s="9"/>
      <c r="P30" s="9"/>
      <c r="Q30" s="9"/>
      <c r="R30" s="9"/>
      <c r="S30" s="9"/>
      <c r="T30" s="9"/>
      <c r="U30" s="10"/>
      <c r="V30" s="10"/>
      <c r="W30" s="10"/>
      <c r="X30" s="11"/>
      <c r="AD30" s="26" t="s">
        <v>24</v>
      </c>
      <c r="AE30" s="22">
        <f t="shared" si="2"/>
        <v>1.4116657368431891</v>
      </c>
      <c r="AF30" s="22">
        <f t="shared" si="3"/>
        <v>9.7390715515001975</v>
      </c>
      <c r="AG30" s="22">
        <f t="shared" si="4"/>
        <v>18.625376496176045</v>
      </c>
      <c r="AH30" s="22">
        <f t="shared" si="5"/>
        <v>0.83290912293510388</v>
      </c>
      <c r="AI30" s="22">
        <f t="shared" si="6"/>
        <v>3.5264368760351932</v>
      </c>
      <c r="AL30" s="9" t="s">
        <v>59</v>
      </c>
      <c r="AM30" s="9">
        <v>4</v>
      </c>
      <c r="AN30" s="9">
        <v>2.5792460858272586</v>
      </c>
      <c r="AO30" s="9">
        <v>0.64481152145681464</v>
      </c>
      <c r="AP30" s="9">
        <v>5.5716599916986027</v>
      </c>
      <c r="AQ30" s="9">
        <v>1.6888152354782476E-3</v>
      </c>
    </row>
    <row r="31" spans="1:43" ht="15.75" x14ac:dyDescent="0.25">
      <c r="A31" s="26" t="s">
        <v>25</v>
      </c>
      <c r="B31" s="26">
        <v>9.7700490431356695</v>
      </c>
      <c r="C31" s="31">
        <v>46612.105872</v>
      </c>
      <c r="D31" s="32">
        <v>17030314</v>
      </c>
      <c r="E31" s="32">
        <v>6.7</v>
      </c>
      <c r="F31" s="31">
        <v>114.5655246019903</v>
      </c>
      <c r="G31" s="34">
        <v>82</v>
      </c>
      <c r="H31" s="34">
        <f t="shared" si="0"/>
        <v>5</v>
      </c>
      <c r="I31" s="34">
        <v>5</v>
      </c>
      <c r="J31" s="34">
        <f t="shared" si="1"/>
        <v>3</v>
      </c>
      <c r="K31" s="28"/>
      <c r="M31" s="27">
        <v>166387.003</v>
      </c>
      <c r="N31" s="11"/>
      <c r="O31" s="9"/>
      <c r="P31" s="9"/>
      <c r="Q31" s="9"/>
      <c r="R31" s="9"/>
      <c r="S31" s="9"/>
      <c r="T31" s="9"/>
      <c r="U31" s="10"/>
      <c r="V31" s="10"/>
      <c r="W31" s="10"/>
      <c r="X31" s="9"/>
      <c r="AD31" s="26" t="s">
        <v>25</v>
      </c>
      <c r="AE31" s="22">
        <f t="shared" si="2"/>
        <v>2.2793214858103288</v>
      </c>
      <c r="AF31" s="22">
        <f t="shared" si="3"/>
        <v>10.749615569037008</v>
      </c>
      <c r="AG31" s="22">
        <f t="shared" si="4"/>
        <v>16.650505490519393</v>
      </c>
      <c r="AH31" s="22">
        <f t="shared" si="5"/>
        <v>1.9021075263969205</v>
      </c>
      <c r="AI31" s="22">
        <f t="shared" si="6"/>
        <v>4.741146926578117</v>
      </c>
      <c r="AL31" s="9" t="s">
        <v>60</v>
      </c>
      <c r="AM31" s="9">
        <v>31</v>
      </c>
      <c r="AN31" s="9">
        <v>3.5876484198504128</v>
      </c>
      <c r="AO31" s="9">
        <v>0.11573059418872299</v>
      </c>
      <c r="AP31" s="9"/>
      <c r="AQ31" s="9"/>
    </row>
    <row r="32" spans="1:43" ht="16.5" thickBot="1" x14ac:dyDescent="0.3">
      <c r="A32" s="26" t="s">
        <v>26</v>
      </c>
      <c r="B32" s="26">
        <v>7.2999194579391471</v>
      </c>
      <c r="C32" s="31">
        <v>34498.023172000001</v>
      </c>
      <c r="D32" s="32">
        <v>4693200</v>
      </c>
      <c r="E32" s="32">
        <v>8.6</v>
      </c>
      <c r="F32" s="31">
        <v>155.80700906591269</v>
      </c>
      <c r="G32" s="34">
        <v>16</v>
      </c>
      <c r="H32" s="34">
        <f t="shared" si="0"/>
        <v>1</v>
      </c>
      <c r="I32" s="34">
        <v>1</v>
      </c>
      <c r="J32" s="34">
        <f t="shared" si="1"/>
        <v>2</v>
      </c>
      <c r="K32" s="28"/>
      <c r="M32" s="27">
        <v>34259.982000000004</v>
      </c>
      <c r="N32" s="9"/>
      <c r="O32" s="9"/>
      <c r="P32" s="9"/>
      <c r="Q32" s="9"/>
      <c r="R32" s="9"/>
      <c r="S32" s="9"/>
      <c r="T32" s="9"/>
      <c r="U32" s="10"/>
      <c r="V32" s="10"/>
      <c r="W32" s="10"/>
      <c r="X32" s="9"/>
      <c r="AD32" s="26" t="s">
        <v>26</v>
      </c>
      <c r="AE32" s="22">
        <f t="shared" si="2"/>
        <v>1.9878633149344587</v>
      </c>
      <c r="AF32" s="22">
        <f t="shared" si="3"/>
        <v>10.448657302015461</v>
      </c>
      <c r="AG32" s="22">
        <f t="shared" si="4"/>
        <v>15.361625210531606</v>
      </c>
      <c r="AH32" s="22">
        <f t="shared" si="5"/>
        <v>2.1517622032594619</v>
      </c>
      <c r="AI32" s="22">
        <f t="shared" si="6"/>
        <v>5.0486181200108255</v>
      </c>
      <c r="AL32" s="19" t="s">
        <v>61</v>
      </c>
      <c r="AM32" s="19">
        <v>35</v>
      </c>
      <c r="AN32" s="19">
        <v>6.1668945056776714</v>
      </c>
      <c r="AO32" s="19"/>
      <c r="AP32" s="19"/>
      <c r="AQ32" s="19"/>
    </row>
    <row r="33" spans="1:46" ht="16.5" thickBot="1" x14ac:dyDescent="0.3">
      <c r="A33" s="26" t="s">
        <v>27</v>
      </c>
      <c r="B33" s="26">
        <v>8.4914461994227821</v>
      </c>
      <c r="C33" s="31">
        <v>59687.096408999998</v>
      </c>
      <c r="D33" s="32">
        <v>5236152</v>
      </c>
      <c r="E33" s="32">
        <v>23.7</v>
      </c>
      <c r="F33" s="31">
        <v>144.82004913929296</v>
      </c>
      <c r="G33" s="34">
        <v>2</v>
      </c>
      <c r="H33" s="34">
        <f t="shared" si="0"/>
        <v>1</v>
      </c>
      <c r="I33" s="34">
        <v>1</v>
      </c>
      <c r="J33" s="34">
        <f t="shared" si="1"/>
        <v>2</v>
      </c>
      <c r="K33" s="28"/>
      <c r="M33" s="27">
        <v>44462.502999999997</v>
      </c>
      <c r="N33" s="9"/>
      <c r="O33" s="10"/>
      <c r="P33" s="10"/>
      <c r="Q33" s="10"/>
      <c r="R33" s="10"/>
      <c r="S33" s="10"/>
      <c r="T33" s="10"/>
      <c r="U33" s="10"/>
      <c r="V33" s="10"/>
      <c r="W33" s="10"/>
      <c r="X33" s="9"/>
      <c r="AD33" s="26" t="s">
        <v>27</v>
      </c>
      <c r="AE33" s="22">
        <f t="shared" si="2"/>
        <v>2.1390593273271277</v>
      </c>
      <c r="AF33" s="22">
        <f t="shared" si="3"/>
        <v>10.996871135466193</v>
      </c>
      <c r="AG33" s="22">
        <f t="shared" si="4"/>
        <v>15.471097435384307</v>
      </c>
      <c r="AH33" s="22">
        <f t="shared" si="5"/>
        <v>3.1654750481410856</v>
      </c>
      <c r="AI33" s="22">
        <f t="shared" si="6"/>
        <v>4.9754919312735089</v>
      </c>
    </row>
    <row r="34" spans="1:46" ht="15.75" x14ac:dyDescent="0.25">
      <c r="A34" s="26" t="s">
        <v>28</v>
      </c>
      <c r="B34" s="26">
        <v>8.4061598505355981</v>
      </c>
      <c r="C34" s="31">
        <v>24927.825323000001</v>
      </c>
      <c r="D34" s="32">
        <v>38426809</v>
      </c>
      <c r="E34" s="32">
        <v>4.2</v>
      </c>
      <c r="F34" s="31">
        <v>54.487263528471154</v>
      </c>
      <c r="G34" s="34">
        <v>86</v>
      </c>
      <c r="H34" s="34">
        <f t="shared" si="0"/>
        <v>5</v>
      </c>
      <c r="I34" s="34">
        <v>5</v>
      </c>
      <c r="J34" s="34">
        <f t="shared" si="1"/>
        <v>1</v>
      </c>
      <c r="K34" s="28"/>
      <c r="M34" s="27">
        <v>323021.89899999998</v>
      </c>
      <c r="N34" s="10"/>
      <c r="O34" s="11"/>
      <c r="P34" s="11"/>
      <c r="Q34" s="11"/>
      <c r="R34" s="11"/>
      <c r="S34" s="11"/>
      <c r="T34" s="11"/>
      <c r="U34" s="11"/>
      <c r="V34" s="11"/>
      <c r="W34" s="11"/>
      <c r="X34" s="10"/>
      <c r="AD34" s="26" t="s">
        <v>28</v>
      </c>
      <c r="AE34" s="22">
        <f t="shared" si="2"/>
        <v>2.1289647526447544</v>
      </c>
      <c r="AF34" s="22">
        <f t="shared" si="3"/>
        <v>10.123739941385013</v>
      </c>
      <c r="AG34" s="22">
        <f t="shared" si="4"/>
        <v>17.464265925005552</v>
      </c>
      <c r="AH34" s="22">
        <f t="shared" si="5"/>
        <v>1.4350845252893227</v>
      </c>
      <c r="AI34" s="22">
        <f t="shared" si="6"/>
        <v>3.9979669776325637</v>
      </c>
      <c r="AL34" s="20"/>
      <c r="AM34" s="20" t="s">
        <v>68</v>
      </c>
      <c r="AN34" s="20" t="s">
        <v>56</v>
      </c>
      <c r="AO34" s="20" t="s">
        <v>69</v>
      </c>
      <c r="AP34" s="20" t="s">
        <v>70</v>
      </c>
      <c r="AQ34" s="20" t="s">
        <v>71</v>
      </c>
      <c r="AR34" s="20" t="s">
        <v>72</v>
      </c>
      <c r="AS34" s="20" t="s">
        <v>73</v>
      </c>
      <c r="AT34" s="20" t="s">
        <v>74</v>
      </c>
    </row>
    <row r="35" spans="1:46" ht="15.75" x14ac:dyDescent="0.25">
      <c r="A35" s="26" t="s">
        <v>29</v>
      </c>
      <c r="B35" s="26">
        <v>4.8780790419634892</v>
      </c>
      <c r="C35" s="31">
        <v>27275.436686000001</v>
      </c>
      <c r="D35" s="32">
        <v>10325452</v>
      </c>
      <c r="E35" s="32">
        <v>5</v>
      </c>
      <c r="F35" s="31">
        <v>111.24812219592928</v>
      </c>
      <c r="G35" s="34">
        <v>45</v>
      </c>
      <c r="H35" s="34">
        <f t="shared" si="0"/>
        <v>3</v>
      </c>
      <c r="I35" s="34">
        <v>3</v>
      </c>
      <c r="J35" s="34">
        <f t="shared" si="1"/>
        <v>2</v>
      </c>
      <c r="K35" s="28"/>
      <c r="M35" s="27">
        <v>50368.370999999999</v>
      </c>
      <c r="N35" s="10"/>
      <c r="O35" s="9"/>
      <c r="P35" s="9"/>
      <c r="Q35" s="9"/>
      <c r="R35" s="9"/>
      <c r="S35" s="9"/>
      <c r="T35" s="9"/>
      <c r="U35" s="9"/>
      <c r="V35" s="9"/>
      <c r="W35" s="9"/>
      <c r="X35" s="10"/>
      <c r="AD35" s="26" t="s">
        <v>29</v>
      </c>
      <c r="AE35" s="22">
        <f t="shared" si="2"/>
        <v>1.5847515034270019</v>
      </c>
      <c r="AF35" s="22">
        <f t="shared" si="3"/>
        <v>10.213741821058898</v>
      </c>
      <c r="AG35" s="22">
        <f t="shared" si="4"/>
        <v>16.150122473092885</v>
      </c>
      <c r="AH35" s="22">
        <f t="shared" si="5"/>
        <v>1.6094379124341003</v>
      </c>
      <c r="AI35" s="22">
        <f t="shared" si="6"/>
        <v>4.7117630417661811</v>
      </c>
      <c r="AL35" s="9" t="s">
        <v>62</v>
      </c>
      <c r="AM35" s="9">
        <v>-10.164580830354371</v>
      </c>
      <c r="AN35" s="9">
        <v>2.349256428313264</v>
      </c>
      <c r="AO35" s="9">
        <v>-4.3267225781956933</v>
      </c>
      <c r="AP35" s="9">
        <v>1.4621444053723924E-4</v>
      </c>
      <c r="AQ35" s="9">
        <v>-14.955920904932473</v>
      </c>
      <c r="AR35" s="9">
        <v>-5.3732407557762691</v>
      </c>
      <c r="AS35" s="9">
        <v>-14.955920904932473</v>
      </c>
      <c r="AT35" s="9">
        <v>-5.3732407557762691</v>
      </c>
    </row>
    <row r="36" spans="1:46" ht="15.75" x14ac:dyDescent="0.25">
      <c r="A36" s="26" t="s">
        <v>30</v>
      </c>
      <c r="B36" s="26">
        <v>6.4251141360809223</v>
      </c>
      <c r="C36" s="31">
        <v>29018.421287000001</v>
      </c>
      <c r="D36" s="32">
        <v>5430798</v>
      </c>
      <c r="E36" s="32">
        <v>5.4</v>
      </c>
      <c r="F36" s="31">
        <v>56.948524398071044</v>
      </c>
      <c r="G36" s="34">
        <v>20</v>
      </c>
      <c r="H36" s="34">
        <f t="shared" si="0"/>
        <v>2</v>
      </c>
      <c r="I36" s="34">
        <v>2</v>
      </c>
      <c r="J36" s="34">
        <f t="shared" si="1"/>
        <v>2</v>
      </c>
      <c r="K36" s="28"/>
      <c r="M36" s="27">
        <v>34893.497000000003</v>
      </c>
      <c r="N36" s="10"/>
      <c r="O36" s="9"/>
      <c r="P36" s="9"/>
      <c r="Q36" s="9"/>
      <c r="R36" s="9"/>
      <c r="S36" s="9"/>
      <c r="T36" s="9"/>
      <c r="U36" s="9"/>
      <c r="V36" s="9"/>
      <c r="W36" s="9"/>
      <c r="X36" s="10"/>
      <c r="AD36" s="26" t="s">
        <v>30</v>
      </c>
      <c r="AE36" s="22">
        <f t="shared" si="2"/>
        <v>1.8602143949940706</v>
      </c>
      <c r="AF36" s="22">
        <f t="shared" si="3"/>
        <v>10.275686124096923</v>
      </c>
      <c r="AG36" s="22">
        <f t="shared" si="4"/>
        <v>15.507596642438328</v>
      </c>
      <c r="AH36" s="22">
        <f t="shared" si="5"/>
        <v>1.6863989535702288</v>
      </c>
      <c r="AI36" s="22">
        <f t="shared" si="6"/>
        <v>4.0421477790758766</v>
      </c>
      <c r="AL36" s="9" t="s">
        <v>41</v>
      </c>
      <c r="AM36" s="9">
        <v>0.37537811579657027</v>
      </c>
      <c r="AN36" s="9">
        <v>0.24128075219754411</v>
      </c>
      <c r="AO36" s="9">
        <v>1.5557731496511435</v>
      </c>
      <c r="AP36" s="9">
        <v>0.12991340239035354</v>
      </c>
      <c r="AQ36" s="9">
        <v>-0.11671722266696066</v>
      </c>
      <c r="AR36" s="9">
        <v>0.86747345426010125</v>
      </c>
      <c r="AS36" s="9">
        <v>-0.11671722266696066</v>
      </c>
      <c r="AT36" s="9">
        <v>0.86747345426010125</v>
      </c>
    </row>
    <row r="37" spans="1:46" ht="15.75" x14ac:dyDescent="0.25">
      <c r="A37" s="26" t="s">
        <v>31</v>
      </c>
      <c r="B37" s="26">
        <v>6.9825572692335829</v>
      </c>
      <c r="C37" s="31">
        <v>28938.211529</v>
      </c>
      <c r="D37" s="32">
        <v>2064241</v>
      </c>
      <c r="E37" s="32">
        <v>7.2</v>
      </c>
      <c r="F37" s="31">
        <v>46.741224804265087</v>
      </c>
      <c r="G37" s="34">
        <v>34</v>
      </c>
      <c r="H37" s="34">
        <f t="shared" si="0"/>
        <v>2</v>
      </c>
      <c r="I37" s="34">
        <v>2</v>
      </c>
      <c r="J37" s="34">
        <f t="shared" si="1"/>
        <v>1</v>
      </c>
      <c r="K37" s="28"/>
      <c r="M37" s="27">
        <v>14413.681</v>
      </c>
      <c r="N37" s="10"/>
      <c r="O37" s="9"/>
      <c r="P37" s="9"/>
      <c r="Q37" s="9"/>
      <c r="R37" s="9"/>
      <c r="S37" s="9"/>
      <c r="T37" s="9"/>
      <c r="U37" s="9"/>
      <c r="V37" s="9"/>
      <c r="W37" s="9"/>
      <c r="X37" s="10"/>
      <c r="AD37" s="26" t="s">
        <v>31</v>
      </c>
      <c r="AE37" s="22">
        <f t="shared" si="2"/>
        <v>1.9434152206272024</v>
      </c>
      <c r="AF37" s="22">
        <f t="shared" si="3"/>
        <v>10.27291819900146</v>
      </c>
      <c r="AG37" s="22">
        <f t="shared" si="4"/>
        <v>14.540273162333147</v>
      </c>
      <c r="AH37" s="22">
        <f t="shared" si="5"/>
        <v>1.9740810260220096</v>
      </c>
      <c r="AI37" s="22">
        <f t="shared" si="6"/>
        <v>3.8446265333943574</v>
      </c>
      <c r="AL37" s="9" t="s">
        <v>39</v>
      </c>
      <c r="AM37" s="9">
        <v>6.8002848149368439E-2</v>
      </c>
      <c r="AN37" s="9">
        <v>4.5261927343044003E-2</v>
      </c>
      <c r="AO37" s="9">
        <v>1.5024293515821601</v>
      </c>
      <c r="AP37" s="9">
        <v>0.14310549445126039</v>
      </c>
      <c r="AQ37" s="9">
        <v>-2.4309461276587063E-2</v>
      </c>
      <c r="AR37" s="9">
        <v>0.16031515757532394</v>
      </c>
      <c r="AS37" s="9">
        <v>-2.4309461276587063E-2</v>
      </c>
      <c r="AT37" s="9">
        <v>0.16031515757532394</v>
      </c>
    </row>
    <row r="38" spans="1:46" ht="15.75" x14ac:dyDescent="0.25">
      <c r="A38" s="26" t="s">
        <v>32</v>
      </c>
      <c r="B38" s="26">
        <v>5.603653865670335</v>
      </c>
      <c r="C38" s="31">
        <v>32780.742910000001</v>
      </c>
      <c r="D38" s="32">
        <v>46449874</v>
      </c>
      <c r="E38" s="32">
        <v>5.5</v>
      </c>
      <c r="F38" s="31">
        <v>111.31752332752025</v>
      </c>
      <c r="G38" s="34">
        <v>40</v>
      </c>
      <c r="H38" s="34">
        <f t="shared" si="0"/>
        <v>3</v>
      </c>
      <c r="I38" s="34">
        <v>3</v>
      </c>
      <c r="J38" s="34">
        <f t="shared" si="1"/>
        <v>1</v>
      </c>
      <c r="K38" s="28"/>
      <c r="M38" s="27">
        <v>260289.016</v>
      </c>
      <c r="N38" s="10"/>
      <c r="O38" s="9"/>
      <c r="P38" s="9"/>
      <c r="Q38" s="9"/>
      <c r="R38" s="9"/>
      <c r="S38" s="9"/>
      <c r="T38" s="9"/>
      <c r="U38" s="9"/>
      <c r="V38" s="9"/>
      <c r="W38" s="9"/>
      <c r="X38" s="10"/>
      <c r="AD38" s="26" t="s">
        <v>32</v>
      </c>
      <c r="AE38" s="22">
        <f t="shared" si="2"/>
        <v>1.7234188609837364</v>
      </c>
      <c r="AF38" s="22">
        <f t="shared" si="3"/>
        <v>10.397596515555346</v>
      </c>
      <c r="AG38" s="22">
        <f t="shared" si="4"/>
        <v>17.653884310626257</v>
      </c>
      <c r="AH38" s="22">
        <f t="shared" si="5"/>
        <v>1.7047480922384253</v>
      </c>
      <c r="AI38" s="22">
        <f t="shared" si="6"/>
        <v>4.7123866881845409</v>
      </c>
      <c r="AL38" s="9" t="s">
        <v>79</v>
      </c>
      <c r="AM38" s="9">
        <v>0.3651194788025981</v>
      </c>
      <c r="AN38" s="9">
        <v>0.14798986185478147</v>
      </c>
      <c r="AO38" s="9">
        <v>2.4671925105307562</v>
      </c>
      <c r="AP38" s="9">
        <v>1.9344267341839156E-2</v>
      </c>
      <c r="AQ38" s="9">
        <v>6.3292165619424412E-2</v>
      </c>
      <c r="AR38" s="9">
        <v>0.66694679198577178</v>
      </c>
      <c r="AS38" s="9">
        <v>6.3292165619424412E-2</v>
      </c>
      <c r="AT38" s="9">
        <v>0.66694679198577178</v>
      </c>
    </row>
    <row r="39" spans="1:46" ht="16.5" thickBot="1" x14ac:dyDescent="0.3">
      <c r="A39" s="26" t="s">
        <v>33</v>
      </c>
      <c r="B39" s="26">
        <v>4.2912553908386348</v>
      </c>
      <c r="C39" s="31">
        <v>44877.246889000002</v>
      </c>
      <c r="D39" s="32">
        <v>9923085</v>
      </c>
      <c r="E39" s="32">
        <v>13.6</v>
      </c>
      <c r="F39" s="31">
        <v>129.38750157621817</v>
      </c>
      <c r="G39" s="34">
        <v>1</v>
      </c>
      <c r="H39" s="34">
        <f t="shared" si="0"/>
        <v>1</v>
      </c>
      <c r="I39" s="34">
        <v>1</v>
      </c>
      <c r="J39" s="34">
        <f t="shared" si="1"/>
        <v>1</v>
      </c>
      <c r="K39" s="28"/>
      <c r="M39" s="27">
        <v>42582.491999999998</v>
      </c>
      <c r="N39" s="11"/>
      <c r="O39" s="9"/>
      <c r="P39" s="9"/>
      <c r="Q39" s="9"/>
      <c r="R39" s="9"/>
      <c r="S39" s="9"/>
      <c r="T39" s="9"/>
      <c r="U39" s="9"/>
      <c r="V39" s="9"/>
      <c r="W39" s="9"/>
      <c r="X39" s="10"/>
      <c r="AD39" s="26" t="s">
        <v>33</v>
      </c>
      <c r="AE39" s="22">
        <f t="shared" si="2"/>
        <v>1.4565793220286809</v>
      </c>
      <c r="AF39" s="22">
        <f t="shared" si="3"/>
        <v>10.711686194486983</v>
      </c>
      <c r="AG39" s="22">
        <f t="shared" si="4"/>
        <v>16.110374418817567</v>
      </c>
      <c r="AH39" s="22">
        <f t="shared" si="5"/>
        <v>2.6100697927420065</v>
      </c>
      <c r="AI39" s="22">
        <f t="shared" si="6"/>
        <v>4.86281178989202</v>
      </c>
      <c r="AL39" s="19" t="s">
        <v>80</v>
      </c>
      <c r="AM39" s="19">
        <v>-0.11144539217680631</v>
      </c>
      <c r="AN39" s="19">
        <v>0.16154616092039437</v>
      </c>
      <c r="AO39" s="19">
        <v>-0.689867165780087</v>
      </c>
      <c r="AP39" s="19">
        <v>0.49541014648385717</v>
      </c>
      <c r="AQ39" s="19">
        <v>-0.44092095958766858</v>
      </c>
      <c r="AR39" s="19">
        <v>0.21803017523405593</v>
      </c>
      <c r="AS39" s="19">
        <v>-0.44092095958766858</v>
      </c>
      <c r="AT39" s="19">
        <v>0.21803017523405593</v>
      </c>
    </row>
    <row r="40" spans="1:46" ht="15.75" x14ac:dyDescent="0.25">
      <c r="A40" s="26" t="s">
        <v>34</v>
      </c>
      <c r="B40" s="26">
        <v>4.6799216417259837</v>
      </c>
      <c r="C40" s="31">
        <v>54724.024768000003</v>
      </c>
      <c r="D40" s="32">
        <v>8373334</v>
      </c>
      <c r="E40" s="32">
        <v>7.6</v>
      </c>
      <c r="F40" s="31">
        <v>174.88922432133185</v>
      </c>
      <c r="G40" s="34">
        <v>1</v>
      </c>
      <c r="H40" s="34">
        <f t="shared" si="0"/>
        <v>1</v>
      </c>
      <c r="I40" s="34">
        <v>1</v>
      </c>
      <c r="J40" s="34">
        <f t="shared" si="1"/>
        <v>1</v>
      </c>
      <c r="K40" s="28"/>
      <c r="M40" s="27">
        <v>39186.546999999999</v>
      </c>
      <c r="N40" s="9"/>
      <c r="O40" s="10"/>
      <c r="P40" s="10"/>
      <c r="Q40" s="10"/>
      <c r="R40" s="10"/>
      <c r="S40" s="10"/>
      <c r="T40" s="10"/>
      <c r="U40" s="10"/>
      <c r="V40" s="10"/>
      <c r="W40" s="10"/>
      <c r="X40" s="10"/>
      <c r="AD40" s="26" t="s">
        <v>34</v>
      </c>
      <c r="AE40" s="22">
        <f t="shared" si="2"/>
        <v>1.5432813665684424</v>
      </c>
      <c r="AF40" s="22">
        <f t="shared" si="3"/>
        <v>10.910058101638397</v>
      </c>
      <c r="AG40" s="22">
        <f t="shared" si="4"/>
        <v>15.940562690513994</v>
      </c>
      <c r="AH40" s="22">
        <f t="shared" si="5"/>
        <v>2.0281482472922852</v>
      </c>
      <c r="AI40" s="22">
        <f t="shared" si="6"/>
        <v>5.1641527696138683</v>
      </c>
    </row>
    <row r="41" spans="1:46" ht="15.75" x14ac:dyDescent="0.25">
      <c r="A41" s="26" t="s">
        <v>35</v>
      </c>
      <c r="B41" s="26">
        <v>5.0611756700988222</v>
      </c>
      <c r="C41" s="31">
        <v>23119.093390000002</v>
      </c>
      <c r="D41" s="32">
        <v>79277971</v>
      </c>
      <c r="E41" s="32">
        <v>3.3</v>
      </c>
      <c r="F41" s="31">
        <v>69.852674672807311</v>
      </c>
      <c r="G41" s="34">
        <v>67</v>
      </c>
      <c r="H41" s="34">
        <f t="shared" si="0"/>
        <v>4</v>
      </c>
      <c r="I41" s="34">
        <v>4</v>
      </c>
      <c r="J41" s="34">
        <f t="shared" si="1"/>
        <v>1</v>
      </c>
      <c r="K41" s="28"/>
      <c r="M41" s="27">
        <v>401239.73800000001</v>
      </c>
      <c r="N41" s="9"/>
      <c r="O41" s="10"/>
      <c r="P41" s="10"/>
      <c r="Q41" s="10"/>
      <c r="R41" s="10"/>
      <c r="S41" s="10"/>
      <c r="T41" s="10"/>
      <c r="U41" s="10"/>
      <c r="V41" s="10"/>
      <c r="W41" s="10"/>
      <c r="X41" s="10"/>
      <c r="AD41" s="26" t="s">
        <v>35</v>
      </c>
      <c r="AE41" s="22">
        <f t="shared" si="2"/>
        <v>1.6215988021805854</v>
      </c>
      <c r="AF41" s="22">
        <f t="shared" si="3"/>
        <v>10.048414108782161</v>
      </c>
      <c r="AG41" s="22">
        <f t="shared" si="4"/>
        <v>18.188470854822985</v>
      </c>
      <c r="AH41" s="22">
        <f t="shared" si="5"/>
        <v>1.1939224684724346</v>
      </c>
      <c r="AI41" s="22">
        <f t="shared" si="6"/>
        <v>4.2463883766349646</v>
      </c>
    </row>
    <row r="42" spans="1:46" ht="15.75" x14ac:dyDescent="0.25">
      <c r="A42" s="26" t="s">
        <v>36</v>
      </c>
      <c r="B42" s="26">
        <v>6.101538028834792</v>
      </c>
      <c r="C42" s="31">
        <v>38858.393333</v>
      </c>
      <c r="D42" s="32">
        <v>65648054</v>
      </c>
      <c r="E42" s="32">
        <v>5</v>
      </c>
      <c r="F42" s="31">
        <v>133.83203251140884</v>
      </c>
      <c r="G42" s="34">
        <v>53</v>
      </c>
      <c r="H42" s="34">
        <f t="shared" si="0"/>
        <v>3</v>
      </c>
      <c r="I42" s="34">
        <v>3</v>
      </c>
      <c r="J42" s="34">
        <f t="shared" si="1"/>
        <v>2</v>
      </c>
      <c r="K42" s="28"/>
      <c r="M42" s="27">
        <v>400554.098</v>
      </c>
      <c r="N42" s="9"/>
      <c r="O42" s="10"/>
      <c r="P42" s="10"/>
      <c r="Q42" s="10"/>
      <c r="R42" s="10"/>
      <c r="S42" s="10"/>
      <c r="T42" s="10"/>
      <c r="U42" s="10"/>
      <c r="V42" s="10"/>
      <c r="W42" s="10"/>
      <c r="X42" s="10"/>
      <c r="AD42" s="26" t="s">
        <v>36</v>
      </c>
      <c r="AE42" s="22">
        <f t="shared" si="2"/>
        <v>1.808540875272914</v>
      </c>
      <c r="AF42" s="22">
        <f t="shared" si="3"/>
        <v>10.567679377068982</v>
      </c>
      <c r="AG42" s="22">
        <f t="shared" si="4"/>
        <v>17.999818516232619</v>
      </c>
      <c r="AH42" s="22">
        <f t="shared" si="5"/>
        <v>1.6094379124341003</v>
      </c>
      <c r="AI42" s="22">
        <f t="shared" si="6"/>
        <v>4.8965855249559693</v>
      </c>
    </row>
    <row r="43" spans="1:46" ht="15.75" x14ac:dyDescent="0.25">
      <c r="A43" s="26" t="s">
        <v>37</v>
      </c>
      <c r="B43" s="26">
        <v>16.425667544972161</v>
      </c>
      <c r="C43" s="31">
        <v>52437.519526999997</v>
      </c>
      <c r="D43" s="32">
        <v>323071342</v>
      </c>
      <c r="E43" s="32">
        <v>12.6</v>
      </c>
      <c r="F43" s="31">
        <v>191.45941596467182</v>
      </c>
      <c r="G43" s="34">
        <v>65</v>
      </c>
      <c r="H43" s="34">
        <f t="shared" si="0"/>
        <v>4</v>
      </c>
      <c r="I43" s="34">
        <v>4</v>
      </c>
      <c r="J43" s="34">
        <f t="shared" si="1"/>
        <v>5</v>
      </c>
      <c r="K43" s="28"/>
      <c r="M43" s="27">
        <v>5306662.4570000004</v>
      </c>
      <c r="N43" s="9"/>
      <c r="O43" s="10"/>
      <c r="P43" s="10"/>
      <c r="Q43" s="10"/>
      <c r="R43" s="10"/>
      <c r="S43" s="10"/>
      <c r="T43" s="10"/>
      <c r="U43" s="10"/>
      <c r="V43" s="10"/>
      <c r="W43" s="10"/>
      <c r="X43" s="10"/>
      <c r="AD43" s="26" t="s">
        <v>37</v>
      </c>
      <c r="AE43" s="22">
        <f t="shared" si="2"/>
        <v>2.7988452055522477</v>
      </c>
      <c r="AF43" s="22">
        <f t="shared" si="3"/>
        <v>10.867377635595666</v>
      </c>
      <c r="AG43" s="22">
        <f t="shared" si="4"/>
        <v>19.593383729863081</v>
      </c>
      <c r="AH43" s="22">
        <f t="shared" si="5"/>
        <v>2.5336968139574321</v>
      </c>
      <c r="AI43" s="22">
        <f t="shared" si="6"/>
        <v>5.2546758590835525</v>
      </c>
      <c r="AL43" t="s">
        <v>75</v>
      </c>
    </row>
    <row r="44" spans="1:46" ht="15.75" thickBot="1" x14ac:dyDescent="0.3">
      <c r="M44" s="21"/>
      <c r="N44" s="9"/>
      <c r="O44" s="10"/>
      <c r="P44" s="10"/>
      <c r="Q44" s="10"/>
      <c r="R44" s="10"/>
      <c r="S44" s="10"/>
      <c r="T44" s="10"/>
      <c r="U44" s="10"/>
      <c r="V44" s="10"/>
      <c r="W44" s="10"/>
      <c r="X44" s="10"/>
    </row>
    <row r="45" spans="1:46" x14ac:dyDescent="0.25">
      <c r="M45" s="8"/>
      <c r="N45" s="9"/>
      <c r="O45" s="11"/>
      <c r="P45" s="11"/>
      <c r="Q45" s="11"/>
      <c r="R45" s="10"/>
      <c r="S45" s="10"/>
      <c r="T45" s="10"/>
      <c r="U45" s="10"/>
      <c r="V45" s="10"/>
      <c r="W45" s="10"/>
      <c r="X45" s="10"/>
      <c r="AL45" s="20" t="s">
        <v>76</v>
      </c>
      <c r="AM45" s="20" t="s">
        <v>77</v>
      </c>
      <c r="AN45" s="20" t="s">
        <v>78</v>
      </c>
    </row>
    <row r="46" spans="1:46" x14ac:dyDescent="0.25">
      <c r="M46" s="7"/>
      <c r="N46" s="9"/>
      <c r="O46" s="9"/>
      <c r="P46" s="9"/>
      <c r="Q46" s="9"/>
      <c r="R46" s="10"/>
      <c r="S46" s="10"/>
      <c r="T46" s="10"/>
      <c r="U46" s="10"/>
      <c r="V46" s="10"/>
      <c r="W46" s="10"/>
      <c r="X46" s="10"/>
      <c r="AL46" s="9">
        <v>1</v>
      </c>
      <c r="AM46" s="9">
        <v>-4.6942790461787851</v>
      </c>
      <c r="AN46" s="9">
        <v>0.62437556323903731</v>
      </c>
    </row>
    <row r="47" spans="1:46" x14ac:dyDescent="0.25">
      <c r="H47">
        <f>MIN(B8:B43)</f>
        <v>3.6908378773535557</v>
      </c>
      <c r="I47">
        <f>MAX(B8:B43)</f>
        <v>17.079036846365454</v>
      </c>
      <c r="N47" s="9"/>
      <c r="O47" s="9"/>
      <c r="P47" s="9"/>
      <c r="Q47" s="9"/>
      <c r="R47" s="10"/>
      <c r="S47" s="10"/>
      <c r="T47" s="10"/>
      <c r="U47" s="10"/>
      <c r="V47" s="10"/>
      <c r="W47" s="10"/>
      <c r="X47" s="10"/>
      <c r="AL47" s="9">
        <v>2</v>
      </c>
      <c r="AM47" s="9">
        <v>-4.782045631344201</v>
      </c>
      <c r="AN47" s="9">
        <v>-8.4216358207789277E-2</v>
      </c>
    </row>
    <row r="48" spans="1:46" x14ac:dyDescent="0.25">
      <c r="N48" s="9"/>
      <c r="O48" s="9"/>
      <c r="P48" s="9"/>
      <c r="Q48" s="9"/>
      <c r="R48" s="10"/>
      <c r="S48" s="10"/>
      <c r="T48" s="10"/>
      <c r="U48" s="10"/>
      <c r="V48" s="10"/>
      <c r="W48" s="10"/>
      <c r="X48" s="10"/>
      <c r="AL48" s="9">
        <v>3</v>
      </c>
      <c r="AM48" s="9">
        <v>-4.7844412938567551</v>
      </c>
      <c r="AN48" s="9">
        <v>4.1585281892026593E-2</v>
      </c>
    </row>
    <row r="49" spans="14:40" x14ac:dyDescent="0.25">
      <c r="N49" s="9"/>
      <c r="O49" s="9"/>
      <c r="P49" s="9"/>
      <c r="Q49" s="9"/>
      <c r="R49" s="10"/>
      <c r="S49" s="10"/>
      <c r="T49" s="10"/>
      <c r="U49" s="10"/>
      <c r="V49" s="10"/>
      <c r="W49" s="10"/>
      <c r="X49" s="10"/>
      <c r="AL49" s="9">
        <v>4</v>
      </c>
      <c r="AM49" s="9">
        <v>-4.5471786446048998</v>
      </c>
      <c r="AN49" s="9">
        <v>0.38804328613102879</v>
      </c>
    </row>
    <row r="50" spans="14:40" x14ac:dyDescent="0.25">
      <c r="N50" s="9"/>
      <c r="O50" s="9"/>
      <c r="P50" s="9"/>
      <c r="Q50" s="9"/>
      <c r="R50" s="10"/>
      <c r="S50" s="10"/>
      <c r="T50" s="10"/>
      <c r="U50" s="10"/>
      <c r="V50" s="10"/>
      <c r="W50" s="10"/>
      <c r="X50" s="10"/>
      <c r="AC50" s="10"/>
      <c r="AD50" s="10"/>
      <c r="AE50" s="10"/>
      <c r="AF50" s="10"/>
      <c r="AG50" s="10"/>
      <c r="AH50" s="10"/>
      <c r="AL50" s="9">
        <v>5</v>
      </c>
      <c r="AM50" s="9">
        <v>-5.3037453815125257</v>
      </c>
      <c r="AN50" s="9">
        <v>-2.7546238704451831E-2</v>
      </c>
    </row>
    <row r="51" spans="14:40" x14ac:dyDescent="0.25">
      <c r="N51" s="9"/>
      <c r="O51" s="9"/>
      <c r="P51" s="9"/>
      <c r="Q51" s="9"/>
      <c r="R51" s="10"/>
      <c r="S51" s="10"/>
      <c r="T51" s="10"/>
      <c r="U51" s="10"/>
      <c r="V51" s="10"/>
      <c r="W51" s="10"/>
      <c r="X51" s="10"/>
      <c r="AC51" s="10"/>
      <c r="AD51" s="10"/>
      <c r="AE51" s="10"/>
      <c r="AF51" s="10"/>
      <c r="AG51" s="10"/>
      <c r="AH51" s="10"/>
      <c r="AL51" s="9">
        <v>6</v>
      </c>
      <c r="AM51" s="9">
        <v>-4.93827248731455</v>
      </c>
      <c r="AN51" s="9">
        <v>0.34201910180924866</v>
      </c>
    </row>
    <row r="52" spans="14:40" x14ac:dyDescent="0.25">
      <c r="N52" s="9"/>
      <c r="O52" s="9"/>
      <c r="P52" s="9"/>
      <c r="Q52" s="9"/>
      <c r="R52" s="10"/>
      <c r="S52" s="10"/>
      <c r="T52" s="10"/>
      <c r="U52" s="10"/>
      <c r="V52" s="10"/>
      <c r="W52" s="10"/>
      <c r="X52" s="10"/>
      <c r="AC52" s="10"/>
      <c r="AD52" s="11"/>
      <c r="AE52" s="11"/>
      <c r="AF52" s="11"/>
      <c r="AG52" s="10"/>
      <c r="AH52" s="10"/>
      <c r="AL52" s="9">
        <v>7</v>
      </c>
      <c r="AM52" s="9">
        <v>-5.0030931088105133</v>
      </c>
      <c r="AN52" s="9">
        <v>-3.1916848394493158E-3</v>
      </c>
    </row>
    <row r="53" spans="14:40" x14ac:dyDescent="0.25">
      <c r="N53" s="9"/>
      <c r="O53" s="9"/>
      <c r="P53" s="9"/>
      <c r="Q53" s="9"/>
      <c r="R53" s="10"/>
      <c r="S53" s="10"/>
      <c r="T53" s="10"/>
      <c r="U53" s="10"/>
      <c r="V53" s="10"/>
      <c r="W53" s="10"/>
      <c r="X53" s="10"/>
      <c r="AC53" s="10"/>
      <c r="AD53" s="9"/>
      <c r="AE53" s="9"/>
      <c r="AF53" s="9"/>
      <c r="AG53" s="10"/>
      <c r="AH53" s="10"/>
      <c r="AL53" s="9">
        <v>8</v>
      </c>
      <c r="AM53" s="9">
        <v>-5.1325587937282933</v>
      </c>
      <c r="AN53" s="9">
        <v>0.81127975020179388</v>
      </c>
    </row>
    <row r="54" spans="14:40" x14ac:dyDescent="0.25">
      <c r="N54" s="9"/>
      <c r="O54" s="9"/>
      <c r="P54" s="9"/>
      <c r="Q54" s="9"/>
      <c r="R54" s="10"/>
      <c r="S54" s="10"/>
      <c r="T54" s="10"/>
      <c r="U54" s="10"/>
      <c r="V54" s="10"/>
      <c r="W54" s="10"/>
      <c r="X54" s="10"/>
      <c r="AC54" s="10"/>
      <c r="AD54" s="9"/>
      <c r="AE54" s="9"/>
      <c r="AF54" s="9"/>
      <c r="AG54" s="10"/>
      <c r="AH54" s="10"/>
      <c r="AL54" s="9">
        <v>9</v>
      </c>
      <c r="AM54" s="9">
        <v>-4.6479335961566166</v>
      </c>
      <c r="AN54" s="9">
        <v>-0.10844767113249532</v>
      </c>
    </row>
    <row r="55" spans="14:40" x14ac:dyDescent="0.25">
      <c r="N55" s="9"/>
      <c r="O55" s="9"/>
      <c r="P55" s="9"/>
      <c r="Q55" s="9"/>
      <c r="R55" s="10"/>
      <c r="S55" s="10"/>
      <c r="T55" s="10"/>
      <c r="U55" s="10"/>
      <c r="V55" s="10"/>
      <c r="W55" s="10"/>
      <c r="X55" s="10"/>
      <c r="AC55" s="10"/>
      <c r="AD55" s="10"/>
      <c r="AE55" s="10"/>
      <c r="AF55" s="10"/>
      <c r="AG55" s="10"/>
      <c r="AH55" s="10"/>
      <c r="AL55" s="9">
        <v>10</v>
      </c>
      <c r="AM55" s="9">
        <v>-4.7787717096024167</v>
      </c>
      <c r="AN55" s="9">
        <v>-0.47318989841836423</v>
      </c>
    </row>
    <row r="56" spans="14:40" x14ac:dyDescent="0.25">
      <c r="N56" s="9"/>
      <c r="O56" s="9"/>
      <c r="P56" s="9"/>
      <c r="Q56" s="9"/>
      <c r="R56" s="10"/>
      <c r="S56" s="10"/>
      <c r="T56" s="10"/>
      <c r="U56" s="10"/>
      <c r="V56" s="10"/>
      <c r="W56" s="10"/>
      <c r="X56" s="10"/>
      <c r="AC56" s="10"/>
      <c r="AD56" s="10"/>
      <c r="AE56" s="10"/>
      <c r="AF56" s="10"/>
      <c r="AG56" s="10"/>
      <c r="AH56" s="10"/>
      <c r="AL56" s="9">
        <v>11</v>
      </c>
      <c r="AM56" s="9">
        <v>-4.692727015754639</v>
      </c>
      <c r="AN56" s="9">
        <v>6.0687570442130578E-2</v>
      </c>
    </row>
    <row r="57" spans="14:40" x14ac:dyDescent="0.25">
      <c r="N57" s="9"/>
      <c r="O57" s="9"/>
      <c r="P57" s="9"/>
      <c r="Q57" s="9"/>
      <c r="R57" s="10"/>
      <c r="S57" s="10"/>
      <c r="T57" s="10"/>
      <c r="U57" s="10"/>
      <c r="V57" s="10"/>
      <c r="W57" s="10"/>
      <c r="X57" s="10"/>
      <c r="AC57" s="10"/>
      <c r="AD57" s="10"/>
      <c r="AE57" s="10"/>
      <c r="AF57" s="10"/>
      <c r="AG57" s="10"/>
      <c r="AH57" s="10"/>
      <c r="AL57" s="9">
        <v>12</v>
      </c>
      <c r="AM57" s="9">
        <v>-5.1742480795962571</v>
      </c>
      <c r="AN57" s="9">
        <v>0.15701564147004188</v>
      </c>
    </row>
    <row r="58" spans="14:40" x14ac:dyDescent="0.25">
      <c r="N58" s="9"/>
      <c r="O58" s="9"/>
      <c r="P58" s="9"/>
      <c r="Q58" s="9"/>
      <c r="R58" s="10"/>
      <c r="S58" s="10"/>
      <c r="T58" s="10"/>
      <c r="U58" s="10"/>
      <c r="V58" s="10"/>
      <c r="W58" s="10"/>
      <c r="X58" s="10"/>
      <c r="AL58" s="9">
        <v>13</v>
      </c>
      <c r="AM58" s="9">
        <v>-5.1333808974501984</v>
      </c>
      <c r="AN58" s="9">
        <v>-0.19892564024180359</v>
      </c>
    </row>
    <row r="59" spans="14:40" x14ac:dyDescent="0.25">
      <c r="N59" s="9"/>
      <c r="O59" s="9"/>
      <c r="P59" s="9"/>
      <c r="Q59" s="9"/>
      <c r="R59" s="10"/>
      <c r="S59" s="10"/>
      <c r="T59" s="10"/>
      <c r="U59" s="10"/>
      <c r="V59" s="10"/>
      <c r="W59" s="10"/>
      <c r="X59" s="10"/>
      <c r="AL59" s="9">
        <v>14</v>
      </c>
      <c r="AM59" s="9">
        <v>-4.3045930074505758</v>
      </c>
      <c r="AN59" s="9">
        <v>-0.26094090317561403</v>
      </c>
    </row>
    <row r="60" spans="14:40" x14ac:dyDescent="0.25">
      <c r="N60" s="9"/>
      <c r="O60" s="9"/>
      <c r="P60" s="9"/>
      <c r="Q60" s="9"/>
      <c r="R60" s="10"/>
      <c r="S60" s="10"/>
      <c r="T60" s="10"/>
      <c r="U60" s="10"/>
      <c r="V60" s="10"/>
      <c r="W60" s="10"/>
      <c r="X60" s="10"/>
      <c r="AL60" s="9">
        <v>15</v>
      </c>
      <c r="AM60" s="9">
        <v>-4.7811450456541884</v>
      </c>
      <c r="AN60" s="9">
        <v>3.6820911762882602E-3</v>
      </c>
    </row>
    <row r="61" spans="14:40" x14ac:dyDescent="0.25">
      <c r="N61" s="9"/>
      <c r="O61" s="9"/>
      <c r="P61" s="9"/>
      <c r="Q61" s="9"/>
      <c r="R61" s="10"/>
      <c r="S61" s="10"/>
      <c r="T61" s="10"/>
      <c r="U61" s="10"/>
      <c r="V61" s="10"/>
      <c r="W61" s="10"/>
      <c r="X61" s="10"/>
      <c r="AL61" s="9">
        <v>16</v>
      </c>
      <c r="AM61" s="9">
        <v>-4.9459976673107793</v>
      </c>
      <c r="AN61" s="9">
        <v>8.449505137673885E-2</v>
      </c>
    </row>
    <row r="62" spans="14:40" x14ac:dyDescent="0.25">
      <c r="N62" s="9"/>
      <c r="O62" s="9"/>
      <c r="P62" s="9"/>
      <c r="Q62" s="9"/>
      <c r="R62" s="10"/>
      <c r="S62" s="10"/>
      <c r="T62" s="10"/>
      <c r="U62" s="10"/>
      <c r="V62" s="10"/>
      <c r="W62" s="10"/>
      <c r="X62" s="10"/>
      <c r="AL62" s="9">
        <v>17</v>
      </c>
      <c r="AM62" s="9">
        <v>-4.9272373705461936</v>
      </c>
      <c r="AN62" s="9">
        <v>-0.21741893010585134</v>
      </c>
    </row>
    <row r="63" spans="14:40" x14ac:dyDescent="0.25">
      <c r="N63" s="9"/>
      <c r="O63" s="9"/>
      <c r="P63" s="9"/>
      <c r="Q63" s="9"/>
      <c r="R63" s="10"/>
      <c r="S63" s="10"/>
      <c r="T63" s="10"/>
      <c r="U63" s="10"/>
      <c r="V63" s="10"/>
      <c r="W63" s="10"/>
      <c r="X63" s="10"/>
      <c r="AL63" s="9">
        <v>18</v>
      </c>
      <c r="AM63" s="9">
        <v>-4.7485882142926572</v>
      </c>
      <c r="AN63" s="9">
        <v>9.2377089301180604E-2</v>
      </c>
    </row>
    <row r="64" spans="14:40" x14ac:dyDescent="0.25">
      <c r="N64" s="9"/>
      <c r="O64" s="9"/>
      <c r="P64" s="9"/>
      <c r="Q64" s="9"/>
      <c r="R64" s="10"/>
      <c r="S64" s="10"/>
      <c r="T64" s="10"/>
      <c r="U64" s="10"/>
      <c r="V64" s="10"/>
      <c r="W64" s="10"/>
      <c r="X64" s="10"/>
      <c r="AL64" s="9">
        <v>19</v>
      </c>
      <c r="AM64" s="9">
        <v>-4.7226230556983415</v>
      </c>
      <c r="AN64" s="9">
        <v>0.33594705553590565</v>
      </c>
    </row>
    <row r="65" spans="14:40" x14ac:dyDescent="0.25">
      <c r="N65" s="9"/>
      <c r="O65" s="9"/>
      <c r="P65" s="9"/>
      <c r="Q65" s="9"/>
      <c r="R65" s="10"/>
      <c r="S65" s="10"/>
      <c r="T65" s="10"/>
      <c r="U65" s="10"/>
      <c r="V65" s="10"/>
      <c r="W65" s="10"/>
      <c r="X65" s="10"/>
      <c r="AL65" s="9">
        <v>20</v>
      </c>
      <c r="AM65" s="9">
        <v>-5.3745715421838112</v>
      </c>
      <c r="AN65" s="9">
        <v>-0.22733023748822312</v>
      </c>
    </row>
    <row r="66" spans="14:40" x14ac:dyDescent="0.25">
      <c r="N66" s="9"/>
      <c r="O66" s="9"/>
      <c r="P66" s="9"/>
      <c r="Q66" s="9"/>
      <c r="R66" s="10"/>
      <c r="S66" s="10"/>
      <c r="T66" s="10"/>
      <c r="U66" s="10"/>
      <c r="V66" s="10"/>
      <c r="W66" s="10"/>
      <c r="X66" s="10"/>
      <c r="AL66" s="9">
        <v>21</v>
      </c>
      <c r="AM66" s="9">
        <v>-5.2215193013136476</v>
      </c>
      <c r="AN66" s="9">
        <v>-0.16570675007074431</v>
      </c>
    </row>
    <row r="67" spans="14:40" x14ac:dyDescent="0.25">
      <c r="N67" s="9"/>
      <c r="O67" s="9"/>
      <c r="P67" s="9"/>
      <c r="Q67" s="9"/>
      <c r="R67" s="10"/>
      <c r="S67" s="10"/>
      <c r="T67" s="10"/>
      <c r="U67" s="10"/>
      <c r="V67" s="10"/>
      <c r="W67" s="10"/>
      <c r="X67" s="10"/>
      <c r="AL67" s="9">
        <v>22</v>
      </c>
      <c r="AM67" s="9">
        <v>-4.5477879015833045</v>
      </c>
      <c r="AN67" s="9">
        <v>0.38444629325466462</v>
      </c>
    </row>
    <row r="68" spans="14:40" x14ac:dyDescent="0.25">
      <c r="N68" s="9"/>
      <c r="O68" s="9"/>
      <c r="P68" s="9"/>
      <c r="Q68" s="9"/>
      <c r="R68" s="10"/>
      <c r="S68" s="10"/>
      <c r="T68" s="10"/>
      <c r="U68" s="10"/>
      <c r="V68" s="10"/>
      <c r="W68" s="10"/>
      <c r="X68" s="10"/>
      <c r="AL68" s="9">
        <v>23</v>
      </c>
      <c r="AM68" s="9">
        <v>-5.3310616479304702</v>
      </c>
      <c r="AN68" s="9">
        <v>-0.16502789420847819</v>
      </c>
    </row>
    <row r="69" spans="14:40" x14ac:dyDescent="0.25">
      <c r="N69" s="9"/>
      <c r="O69" s="9"/>
      <c r="P69" s="9"/>
      <c r="Q69" s="9"/>
      <c r="R69" s="10"/>
      <c r="S69" s="10"/>
      <c r="T69" s="10"/>
      <c r="U69" s="10"/>
      <c r="V69" s="10"/>
      <c r="W69" s="10"/>
      <c r="X69" s="10"/>
      <c r="AL69" s="9">
        <v>24</v>
      </c>
      <c r="AM69" s="9">
        <v>-4.8310110659655816</v>
      </c>
      <c r="AN69" s="9">
        <v>0.20257727279377313</v>
      </c>
    </row>
    <row r="70" spans="14:40" x14ac:dyDescent="0.25">
      <c r="N70" s="9"/>
      <c r="O70" s="9"/>
      <c r="P70" s="9"/>
      <c r="Q70" s="9"/>
      <c r="R70" s="10"/>
      <c r="S70" s="10"/>
      <c r="T70" s="10"/>
      <c r="U70" s="10"/>
      <c r="V70" s="10"/>
      <c r="W70" s="10"/>
      <c r="X70" s="10"/>
      <c r="AL70" s="9">
        <v>25</v>
      </c>
      <c r="AM70" s="9">
        <v>-4.9747442053747539</v>
      </c>
      <c r="AN70" s="9">
        <v>5.4852241327076001E-2</v>
      </c>
    </row>
    <row r="71" spans="14:40" x14ac:dyDescent="0.25">
      <c r="N71" s="9"/>
      <c r="O71" s="9"/>
      <c r="P71" s="9"/>
      <c r="Q71" s="9"/>
      <c r="R71" s="10"/>
      <c r="S71" s="10"/>
      <c r="T71" s="10"/>
      <c r="U71" s="10"/>
      <c r="V71" s="10"/>
      <c r="W71" s="10"/>
      <c r="X71" s="10"/>
      <c r="AL71" s="9">
        <v>26</v>
      </c>
      <c r="AM71" s="9">
        <v>-4.3832364240762676</v>
      </c>
      <c r="AN71" s="9">
        <v>-0.38545952757874158</v>
      </c>
    </row>
    <row r="72" spans="14:40" x14ac:dyDescent="0.25">
      <c r="N72" s="9"/>
      <c r="O72" s="9"/>
      <c r="P72" s="9"/>
      <c r="Q72" s="9"/>
      <c r="R72" s="10"/>
      <c r="S72" s="10"/>
      <c r="T72" s="10"/>
      <c r="U72" s="10"/>
      <c r="V72" s="10"/>
      <c r="W72" s="10"/>
      <c r="X72" s="10"/>
      <c r="AL72" s="9">
        <v>27</v>
      </c>
      <c r="AM72" s="9">
        <v>-5.0983082664253123</v>
      </c>
      <c r="AN72" s="9">
        <v>0.31951774008792988</v>
      </c>
    </row>
    <row r="73" spans="14:40" x14ac:dyDescent="0.25">
      <c r="N73" s="9"/>
      <c r="O73" s="9"/>
      <c r="P73" s="9"/>
      <c r="Q73" s="9"/>
      <c r="R73" s="10"/>
      <c r="S73" s="10"/>
      <c r="T73" s="10"/>
      <c r="U73" s="10"/>
      <c r="V73" s="10"/>
      <c r="W73" s="10"/>
      <c r="X73" s="10"/>
      <c r="AL73" s="9">
        <v>28</v>
      </c>
      <c r="AM73" s="9">
        <v>-5.1697784924819468</v>
      </c>
      <c r="AN73" s="9">
        <v>-0.15322528307318795</v>
      </c>
    </row>
    <row r="74" spans="14:40" x14ac:dyDescent="0.25">
      <c r="N74" s="9"/>
      <c r="O74" s="9"/>
      <c r="P74" s="9"/>
      <c r="Q74" s="9"/>
      <c r="R74" s="10"/>
      <c r="S74" s="10"/>
      <c r="T74" s="10"/>
      <c r="U74" s="10"/>
      <c r="V74" s="10"/>
      <c r="W74" s="10"/>
      <c r="X74" s="10"/>
      <c r="AL74" s="9">
        <v>29</v>
      </c>
      <c r="AM74" s="9">
        <v>-5.0874940324314259</v>
      </c>
      <c r="AN74" s="9">
        <v>3.995314844335951E-2</v>
      </c>
    </row>
    <row r="75" spans="14:40" x14ac:dyDescent="0.25">
      <c r="N75" s="9"/>
      <c r="O75" s="9"/>
      <c r="P75" s="9"/>
      <c r="Q75" s="9"/>
      <c r="R75" s="10"/>
      <c r="S75" s="10"/>
      <c r="T75" s="10"/>
      <c r="U75" s="10"/>
      <c r="V75" s="10"/>
      <c r="W75" s="10"/>
      <c r="X75" s="10"/>
      <c r="AL75" s="9">
        <v>30</v>
      </c>
      <c r="AM75" s="9">
        <v>-5.0272626416246649</v>
      </c>
      <c r="AN75" s="9">
        <v>6.292258326972977E-2</v>
      </c>
    </row>
    <row r="76" spans="14:40" x14ac:dyDescent="0.25">
      <c r="N76" s="9"/>
      <c r="O76" s="9"/>
      <c r="P76" s="9"/>
      <c r="Q76" s="9"/>
      <c r="R76" s="10"/>
      <c r="S76" s="10"/>
      <c r="T76" s="10"/>
      <c r="U76" s="10"/>
      <c r="V76" s="10"/>
      <c r="W76" s="10"/>
      <c r="X76" s="10"/>
      <c r="AL76" s="9">
        <v>31</v>
      </c>
      <c r="AM76" s="9">
        <v>-4.9637732751358552</v>
      </c>
      <c r="AN76" s="9">
        <v>-0.22056314286254519</v>
      </c>
    </row>
    <row r="77" spans="14:40" x14ac:dyDescent="0.25">
      <c r="N77" s="9"/>
      <c r="O77" s="9"/>
      <c r="P77" s="9"/>
      <c r="Q77" s="9"/>
      <c r="R77" s="10"/>
      <c r="S77" s="10"/>
      <c r="T77" s="10"/>
      <c r="U77" s="10"/>
      <c r="V77" s="10"/>
      <c r="W77" s="10"/>
      <c r="X77" s="10"/>
      <c r="AL77" s="9">
        <v>32</v>
      </c>
      <c r="AM77" s="9">
        <v>-4.6370475490735403</v>
      </c>
      <c r="AN77" s="9">
        <v>-0.81412840787991581</v>
      </c>
    </row>
    <row r="78" spans="14:40" x14ac:dyDescent="0.25">
      <c r="N78" s="9"/>
      <c r="O78" s="9"/>
      <c r="P78" s="9"/>
      <c r="Q78" s="9"/>
      <c r="R78" s="10"/>
      <c r="S78" s="10"/>
      <c r="T78" s="10"/>
      <c r="U78" s="10"/>
      <c r="V78" s="10"/>
      <c r="W78" s="10"/>
      <c r="X78" s="10"/>
      <c r="AL78" s="9">
        <v>33</v>
      </c>
      <c r="AM78" s="9">
        <v>-4.8201847125565278</v>
      </c>
      <c r="AN78" s="9">
        <v>-0.54428919985716639</v>
      </c>
    </row>
    <row r="79" spans="14:40" x14ac:dyDescent="0.25">
      <c r="O79" s="9"/>
      <c r="P79" s="9"/>
      <c r="Q79" s="9"/>
      <c r="R79" s="10"/>
      <c r="S79" s="10"/>
      <c r="T79" s="10"/>
      <c r="U79" s="10"/>
      <c r="V79" s="10"/>
      <c r="W79" s="10"/>
      <c r="X79" s="10"/>
      <c r="AL79" s="9">
        <v>34</v>
      </c>
      <c r="AM79" s="9">
        <v>-5.1930743223960585</v>
      </c>
      <c r="AN79" s="9">
        <v>-9.3082154405492723E-2</v>
      </c>
    </row>
    <row r="80" spans="14:40" x14ac:dyDescent="0.25">
      <c r="O80" s="9"/>
      <c r="P80" s="9"/>
      <c r="Q80" s="9"/>
      <c r="R80" s="10"/>
      <c r="S80" s="10"/>
      <c r="T80" s="10"/>
      <c r="U80" s="10"/>
      <c r="V80" s="10"/>
      <c r="W80" s="10"/>
      <c r="X80" s="10"/>
      <c r="AL80" s="9">
        <v>35</v>
      </c>
      <c r="AM80" s="9">
        <v>-4.931731094575297</v>
      </c>
      <c r="AN80" s="9">
        <v>-0.16748330913392628</v>
      </c>
    </row>
    <row r="81" spans="15:40" ht="15.75" thickBot="1" x14ac:dyDescent="0.3">
      <c r="O81" s="9"/>
      <c r="P81" s="9"/>
      <c r="Q81" s="9"/>
      <c r="R81" s="10"/>
      <c r="S81" s="10"/>
      <c r="T81" s="10"/>
      <c r="U81" s="10"/>
      <c r="V81" s="10"/>
      <c r="W81" s="10"/>
      <c r="X81" s="10"/>
      <c r="AL81" s="19">
        <v>36</v>
      </c>
      <c r="AM81" s="19">
        <v>-4.4133065430621201</v>
      </c>
      <c r="AN81" s="19">
        <v>0.30439646963223055</v>
      </c>
    </row>
    <row r="82" spans="15:40" x14ac:dyDescent="0.25">
      <c r="O82" s="10"/>
      <c r="P82" s="10"/>
      <c r="Q82" s="10"/>
      <c r="R82" s="10"/>
      <c r="S82" s="10"/>
      <c r="T82" s="10"/>
      <c r="U82" s="10"/>
      <c r="V82" s="10"/>
      <c r="W82" s="10"/>
      <c r="X82" s="10"/>
    </row>
  </sheetData>
  <sortState ref="S40:S75">
    <sortCondition ref="S40"/>
  </sortState>
  <pageMargins left="0.7" right="0.7" top="0.75" bottom="0.75" header="0.3" footer="0.3"/>
  <pageSetup orientation="portrait" horizontalDpi="300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X55"/>
  <sheetViews>
    <sheetView topLeftCell="A8" workbookViewId="0">
      <selection activeCell="F6" sqref="F6:F41"/>
    </sheetView>
  </sheetViews>
  <sheetFormatPr defaultRowHeight="15" x14ac:dyDescent="0.25"/>
  <cols>
    <col min="1" max="1" width="15.42578125" bestFit="1" customWidth="1"/>
    <col min="2" max="2" width="35.7109375" bestFit="1" customWidth="1"/>
    <col min="3" max="6" width="35.7109375" customWidth="1"/>
    <col min="7" max="7" width="13.28515625" customWidth="1"/>
    <col min="8" max="8" width="9.140625" customWidth="1"/>
    <col min="9" max="9" width="7.7109375" customWidth="1"/>
    <col min="10" max="10" width="12.42578125" customWidth="1"/>
    <col min="11" max="11" width="12" bestFit="1" customWidth="1"/>
    <col min="14" max="14" width="44.28515625" bestFit="1" customWidth="1"/>
    <col min="24" max="24" width="14.28515625" bestFit="1" customWidth="1"/>
  </cols>
  <sheetData>
    <row r="5" spans="1:24" s="5" customFormat="1" ht="18.75" x14ac:dyDescent="0.3">
      <c r="A5" s="5" t="s">
        <v>1</v>
      </c>
      <c r="B5" s="14" t="s">
        <v>42</v>
      </c>
      <c r="C5" s="14" t="s">
        <v>48</v>
      </c>
      <c r="D5" s="14" t="s">
        <v>49</v>
      </c>
      <c r="E5" s="14" t="s">
        <v>50</v>
      </c>
      <c r="F5" s="14" t="s">
        <v>46</v>
      </c>
      <c r="G5" s="5" t="s">
        <v>43</v>
      </c>
      <c r="H5" s="5" t="s">
        <v>44</v>
      </c>
      <c r="I5" s="5" t="s">
        <v>45</v>
      </c>
      <c r="K5" s="5" t="s">
        <v>47</v>
      </c>
    </row>
    <row r="6" spans="1:24" ht="15.75" x14ac:dyDescent="0.25">
      <c r="A6" t="s">
        <v>2</v>
      </c>
      <c r="B6" s="2">
        <v>15.6</v>
      </c>
      <c r="C6" s="2">
        <f t="shared" ref="C6:C21" si="0">G6*1000000000/X6</f>
        <v>1930.4774310446483</v>
      </c>
      <c r="D6" s="2">
        <f t="shared" ref="D6:D21" si="1">H6*1000000000/X6</f>
        <v>1810.59767622603</v>
      </c>
      <c r="E6" s="2">
        <f t="shared" ref="E6:E21" si="2">I6*1000000000/X6</f>
        <v>1326.9448723026383</v>
      </c>
      <c r="F6" s="2">
        <v>9.9</v>
      </c>
      <c r="G6">
        <v>46.7</v>
      </c>
      <c r="H6">
        <v>43.8</v>
      </c>
      <c r="I6">
        <v>32.1</v>
      </c>
      <c r="X6" s="4">
        <v>24190907</v>
      </c>
    </row>
    <row r="7" spans="1:24" ht="15.75" x14ac:dyDescent="0.25">
      <c r="A7" t="s">
        <v>3</v>
      </c>
      <c r="B7" s="2">
        <v>7.4</v>
      </c>
      <c r="C7" s="2">
        <f t="shared" si="0"/>
        <v>1327.2605822142964</v>
      </c>
      <c r="D7" s="2">
        <f t="shared" si="1"/>
        <v>354.69894869519987</v>
      </c>
      <c r="E7" s="2">
        <f t="shared" si="2"/>
        <v>892.46832252340607</v>
      </c>
      <c r="F7" s="2">
        <v>8.5</v>
      </c>
      <c r="G7">
        <v>11.6</v>
      </c>
      <c r="H7">
        <v>3.1</v>
      </c>
      <c r="I7">
        <v>7.8</v>
      </c>
      <c r="X7" s="3">
        <v>8739806</v>
      </c>
    </row>
    <row r="8" spans="1:24" ht="15.75" x14ac:dyDescent="0.25">
      <c r="A8" t="s">
        <v>4</v>
      </c>
      <c r="B8" s="2">
        <v>8</v>
      </c>
      <c r="C8" s="2">
        <f t="shared" si="0"/>
        <v>1850.3757812193587</v>
      </c>
      <c r="D8" s="2">
        <f t="shared" si="1"/>
        <v>274.45765175980921</v>
      </c>
      <c r="E8" s="2">
        <f t="shared" si="2"/>
        <v>1283.7535324249138</v>
      </c>
      <c r="F8" s="2">
        <v>7.8</v>
      </c>
      <c r="G8">
        <v>20.9</v>
      </c>
      <c r="H8">
        <v>3.1</v>
      </c>
      <c r="I8">
        <v>14.5</v>
      </c>
      <c r="Q8" s="10"/>
      <c r="R8" s="10"/>
      <c r="S8" s="10"/>
      <c r="T8" s="10"/>
      <c r="U8" s="10"/>
      <c r="V8" s="10"/>
      <c r="W8" s="10"/>
      <c r="X8" s="3">
        <v>11295003</v>
      </c>
    </row>
    <row r="9" spans="1:24" ht="15.75" x14ac:dyDescent="0.25">
      <c r="A9" t="s">
        <v>5</v>
      </c>
      <c r="B9" s="2">
        <v>15</v>
      </c>
      <c r="C9" s="2">
        <f t="shared" si="0"/>
        <v>2849.6666263910092</v>
      </c>
      <c r="D9" s="2">
        <f t="shared" si="1"/>
        <v>479.09847071491214</v>
      </c>
      <c r="E9" s="2">
        <f t="shared" si="2"/>
        <v>2661.350464491506</v>
      </c>
      <c r="F9" s="2">
        <v>14.3</v>
      </c>
      <c r="G9">
        <v>102.9</v>
      </c>
      <c r="H9">
        <v>17.3</v>
      </c>
      <c r="I9">
        <v>96.1</v>
      </c>
      <c r="Q9" s="11"/>
      <c r="R9" s="11"/>
      <c r="S9" s="11"/>
      <c r="T9" s="11"/>
      <c r="U9" s="11"/>
      <c r="V9" s="11"/>
      <c r="W9" s="11"/>
      <c r="X9" s="3">
        <v>36109487</v>
      </c>
    </row>
    <row r="10" spans="1:24" ht="15.75" x14ac:dyDescent="0.25">
      <c r="A10" t="s">
        <v>6</v>
      </c>
      <c r="B10" s="2">
        <v>4.7</v>
      </c>
      <c r="C10" s="15">
        <f t="shared" si="0"/>
        <v>891.71954187413132</v>
      </c>
      <c r="D10" s="15">
        <f t="shared" si="1"/>
        <v>412.83312123802381</v>
      </c>
      <c r="E10" s="15">
        <f t="shared" si="2"/>
        <v>231.18654789329332</v>
      </c>
      <c r="F10" s="2">
        <v>4.0999999999999996</v>
      </c>
      <c r="G10">
        <v>16.2</v>
      </c>
      <c r="H10">
        <v>7.5</v>
      </c>
      <c r="I10">
        <v>4.2</v>
      </c>
      <c r="N10" s="10"/>
      <c r="O10" s="10"/>
      <c r="P10" s="10"/>
      <c r="Q10" s="9"/>
      <c r="R10" s="9"/>
      <c r="S10" s="9"/>
      <c r="T10" s="9"/>
      <c r="U10" s="9"/>
      <c r="V10" s="9"/>
      <c r="W10" s="9"/>
      <c r="X10" s="3">
        <v>18167147</v>
      </c>
    </row>
    <row r="11" spans="1:24" ht="15.75" x14ac:dyDescent="0.25">
      <c r="A11" t="s">
        <v>7</v>
      </c>
      <c r="B11" s="2">
        <v>9.6</v>
      </c>
      <c r="C11" s="15">
        <f t="shared" si="0"/>
        <v>880.24136407502158</v>
      </c>
      <c r="D11" s="15">
        <f t="shared" si="1"/>
        <v>1514.3937446451985</v>
      </c>
      <c r="E11" s="15">
        <f t="shared" si="2"/>
        <v>681.47718509033928</v>
      </c>
      <c r="F11" s="2">
        <v>6.6</v>
      </c>
      <c r="G11">
        <v>9.3000000000000007</v>
      </c>
      <c r="H11">
        <v>16</v>
      </c>
      <c r="I11">
        <v>7.2</v>
      </c>
      <c r="N11" s="11"/>
      <c r="O11" s="11"/>
      <c r="P11" s="11"/>
      <c r="Q11" s="11"/>
      <c r="R11" s="11"/>
      <c r="S11" s="11"/>
      <c r="T11" s="11"/>
      <c r="U11" s="11"/>
      <c r="V11" s="11"/>
      <c r="W11" s="9"/>
      <c r="X11" s="3">
        <v>10565284</v>
      </c>
    </row>
    <row r="12" spans="1:24" ht="15.75" x14ac:dyDescent="0.25">
      <c r="A12" t="s">
        <v>8</v>
      </c>
      <c r="B12" s="2">
        <v>5.4</v>
      </c>
      <c r="C12" s="15">
        <f t="shared" si="0"/>
        <v>1030.6656213271619</v>
      </c>
      <c r="D12" s="15">
        <f t="shared" si="1"/>
        <v>279.50254137685749</v>
      </c>
      <c r="E12" s="15">
        <f t="shared" si="2"/>
        <v>471.66053857344696</v>
      </c>
      <c r="F12" s="2">
        <v>5.9</v>
      </c>
      <c r="G12">
        <v>5.9</v>
      </c>
      <c r="H12">
        <v>1.6</v>
      </c>
      <c r="I12">
        <v>2.7</v>
      </c>
      <c r="N12" s="9"/>
      <c r="O12" s="9"/>
      <c r="P12" s="9"/>
      <c r="Q12" s="9"/>
      <c r="R12" s="9"/>
      <c r="S12" s="9"/>
      <c r="T12" s="9"/>
      <c r="U12" s="9"/>
      <c r="V12" s="9"/>
      <c r="W12" s="9"/>
      <c r="X12" s="3">
        <v>5724456</v>
      </c>
    </row>
    <row r="13" spans="1:24" ht="15.75" x14ac:dyDescent="0.25">
      <c r="A13" t="s">
        <v>9</v>
      </c>
      <c r="B13" s="2">
        <v>12.1</v>
      </c>
      <c r="C13" s="15">
        <f t="shared" si="0"/>
        <v>151.99993920002433</v>
      </c>
      <c r="D13" s="15">
        <f t="shared" si="1"/>
        <v>3191.9987232005105</v>
      </c>
      <c r="E13" s="15">
        <f t="shared" si="2"/>
        <v>303.99987840004866</v>
      </c>
      <c r="F13" s="2">
        <v>7.1</v>
      </c>
      <c r="G13">
        <v>0.2</v>
      </c>
      <c r="H13">
        <v>4.2</v>
      </c>
      <c r="I13">
        <v>0.4</v>
      </c>
      <c r="N13" s="9"/>
      <c r="O13" s="9"/>
      <c r="P13" s="9"/>
      <c r="Q13" s="9"/>
      <c r="R13" s="9"/>
      <c r="S13" s="9"/>
      <c r="T13" s="9"/>
      <c r="U13" s="9"/>
      <c r="V13" s="9"/>
      <c r="W13" s="9"/>
      <c r="X13" s="3">
        <v>1315790</v>
      </c>
    </row>
    <row r="14" spans="1:24" ht="15.75" x14ac:dyDescent="0.25">
      <c r="A14" t="s">
        <v>10</v>
      </c>
      <c r="B14" s="2">
        <v>7.7</v>
      </c>
      <c r="C14" s="15">
        <f t="shared" si="0"/>
        <v>1492.1850447755596</v>
      </c>
      <c r="D14" s="15">
        <f t="shared" si="1"/>
        <v>746.09252238777981</v>
      </c>
      <c r="E14" s="15">
        <f t="shared" si="2"/>
        <v>363.94757189647805</v>
      </c>
      <c r="F14" s="16">
        <v>15.5</v>
      </c>
      <c r="G14" s="10">
        <v>8.1999999999999993</v>
      </c>
      <c r="H14" s="10">
        <v>4.0999999999999996</v>
      </c>
      <c r="I14" s="10">
        <v>2</v>
      </c>
      <c r="J14" s="10"/>
      <c r="N14" s="9"/>
      <c r="O14" s="9"/>
      <c r="P14" s="9"/>
      <c r="Q14" s="9"/>
      <c r="R14" s="9"/>
      <c r="S14" s="9"/>
      <c r="T14" s="9"/>
      <c r="U14" s="9"/>
      <c r="V14" s="9"/>
      <c r="W14" s="9"/>
      <c r="X14" s="3">
        <v>5495297</v>
      </c>
    </row>
    <row r="15" spans="1:24" ht="15.75" x14ac:dyDescent="0.25">
      <c r="A15" t="s">
        <v>11</v>
      </c>
      <c r="B15" s="2">
        <v>4.5999999999999996</v>
      </c>
      <c r="C15" s="15">
        <f t="shared" si="0"/>
        <v>1070.6970462707577</v>
      </c>
      <c r="D15" s="15">
        <f t="shared" si="1"/>
        <v>143.95926672548003</v>
      </c>
      <c r="E15" s="15">
        <f t="shared" si="2"/>
        <v>577.33664259697719</v>
      </c>
      <c r="F15" s="11">
        <v>7.2</v>
      </c>
      <c r="G15" s="17">
        <v>71.400000000000006</v>
      </c>
      <c r="H15" s="11">
        <v>9.6</v>
      </c>
      <c r="I15" s="11">
        <v>38.5</v>
      </c>
      <c r="J15" s="11"/>
      <c r="N15" s="9"/>
      <c r="O15" s="9"/>
      <c r="P15" s="9"/>
      <c r="Q15" s="9"/>
      <c r="R15" s="9"/>
      <c r="S15" s="9"/>
      <c r="T15" s="9"/>
      <c r="U15" s="9"/>
      <c r="V15" s="9"/>
      <c r="W15" s="9"/>
      <c r="X15" s="3">
        <v>66685530</v>
      </c>
    </row>
    <row r="16" spans="1:24" ht="15.75" x14ac:dyDescent="0.25">
      <c r="A16" t="s">
        <v>12</v>
      </c>
      <c r="B16" s="2">
        <v>8.6999999999999993</v>
      </c>
      <c r="C16" s="15">
        <f t="shared" si="0"/>
        <v>1242.2787306981245</v>
      </c>
      <c r="D16" s="15">
        <f t="shared" si="1"/>
        <v>860.97323564513226</v>
      </c>
      <c r="E16" s="15">
        <f t="shared" si="2"/>
        <v>910.761532769886</v>
      </c>
      <c r="F16" s="18">
        <v>7</v>
      </c>
      <c r="G16" s="9">
        <v>102.3</v>
      </c>
      <c r="H16" s="9">
        <v>70.900000000000006</v>
      </c>
      <c r="I16" s="9">
        <v>75</v>
      </c>
      <c r="J16" s="9"/>
      <c r="N16" s="9"/>
      <c r="O16" s="9"/>
      <c r="P16" s="9"/>
      <c r="Q16" s="9"/>
      <c r="R16" s="9"/>
      <c r="S16" s="9"/>
      <c r="T16" s="9"/>
      <c r="U16" s="9"/>
      <c r="V16" s="9"/>
      <c r="W16" s="10"/>
      <c r="X16" s="3">
        <v>82348669</v>
      </c>
    </row>
    <row r="17" spans="1:24" ht="15.75" x14ac:dyDescent="0.25">
      <c r="A17" t="s">
        <v>13</v>
      </c>
      <c r="B17" s="2">
        <v>5.9</v>
      </c>
      <c r="C17" s="15">
        <f t="shared" si="0"/>
        <v>1011.509774849988</v>
      </c>
      <c r="D17" s="15">
        <f t="shared" si="1"/>
        <v>436.15559099036182</v>
      </c>
      <c r="E17" s="15">
        <f t="shared" si="2"/>
        <v>389.75606003394034</v>
      </c>
      <c r="F17" s="18">
        <v>5.6</v>
      </c>
      <c r="G17">
        <v>10.9</v>
      </c>
      <c r="H17">
        <v>4.7</v>
      </c>
      <c r="I17" s="10">
        <v>4.2</v>
      </c>
      <c r="J17" s="9"/>
      <c r="K17" s="10"/>
      <c r="L17" s="10"/>
      <c r="M17" s="10"/>
      <c r="N17" s="9"/>
      <c r="O17" s="9"/>
      <c r="P17" s="9"/>
      <c r="Q17" s="9"/>
      <c r="R17" s="9"/>
      <c r="S17" s="9"/>
      <c r="T17" s="9"/>
      <c r="U17" s="9"/>
      <c r="V17" s="9"/>
      <c r="W17" s="10"/>
      <c r="X17" s="3">
        <v>10775971</v>
      </c>
    </row>
    <row r="18" spans="1:24" ht="15.75" x14ac:dyDescent="0.25">
      <c r="A18" t="s">
        <v>14</v>
      </c>
      <c r="B18" s="2">
        <v>4.7</v>
      </c>
      <c r="C18" s="15">
        <f t="shared" si="0"/>
        <v>754.02286482632098</v>
      </c>
      <c r="D18" s="15">
        <f t="shared" si="1"/>
        <v>224.16895981323057</v>
      </c>
      <c r="E18" s="15">
        <f t="shared" si="2"/>
        <v>896.67583925292229</v>
      </c>
      <c r="F18" s="18">
        <v>4.3</v>
      </c>
      <c r="G18" s="10">
        <v>7.4</v>
      </c>
      <c r="H18" s="10">
        <v>2.2000000000000002</v>
      </c>
      <c r="I18" s="13">
        <v>8.8000000000000007</v>
      </c>
      <c r="J18" s="10"/>
      <c r="K18" s="10"/>
      <c r="L18" s="10"/>
      <c r="M18" s="10"/>
      <c r="N18" s="9"/>
      <c r="O18" s="9"/>
      <c r="P18" s="9"/>
      <c r="Q18" s="9"/>
      <c r="R18" s="9"/>
      <c r="S18" s="9"/>
      <c r="T18" s="9"/>
      <c r="U18" s="9"/>
      <c r="V18" s="9"/>
      <c r="X18" s="3">
        <v>9814026</v>
      </c>
    </row>
    <row r="19" spans="1:24" ht="15.75" x14ac:dyDescent="0.25">
      <c r="A19" t="s">
        <v>15</v>
      </c>
      <c r="B19" s="2">
        <v>6.3</v>
      </c>
      <c r="C19" s="15">
        <f t="shared" si="0"/>
        <v>1788.7221071146421</v>
      </c>
      <c r="D19" s="15">
        <f t="shared" si="1"/>
        <v>298.1203511857737</v>
      </c>
      <c r="E19" s="15">
        <f t="shared" si="2"/>
        <v>0</v>
      </c>
      <c r="F19" s="18">
        <v>54.4</v>
      </c>
      <c r="G19">
        <v>0.6</v>
      </c>
      <c r="H19" s="10">
        <v>0.1</v>
      </c>
      <c r="I19" s="13">
        <v>0</v>
      </c>
      <c r="J19" s="10"/>
      <c r="K19" s="10"/>
      <c r="L19" s="10"/>
      <c r="M19" s="10"/>
      <c r="N19" s="9"/>
      <c r="O19" s="9"/>
      <c r="P19" s="9"/>
      <c r="Q19" s="9"/>
      <c r="R19" s="9"/>
      <c r="S19" s="9"/>
      <c r="T19" s="9"/>
      <c r="U19" s="9"/>
      <c r="V19" s="9"/>
      <c r="X19" s="3">
        <v>335435</v>
      </c>
    </row>
    <row r="20" spans="1:24" ht="15.75" x14ac:dyDescent="0.25">
      <c r="A20" t="s">
        <v>16</v>
      </c>
      <c r="B20" s="2">
        <v>7.4</v>
      </c>
      <c r="C20" s="15">
        <f t="shared" si="0"/>
        <v>1287.029255862893</v>
      </c>
      <c r="D20" s="12">
        <f t="shared" si="1"/>
        <v>379.77912468085367</v>
      </c>
      <c r="E20" s="12">
        <f t="shared" si="2"/>
        <v>907.25013118203935</v>
      </c>
      <c r="F20" s="18">
        <v>5.8</v>
      </c>
      <c r="G20" s="10">
        <v>6.1</v>
      </c>
      <c r="H20" s="13">
        <v>1.8</v>
      </c>
      <c r="I20" s="13">
        <v>4.3</v>
      </c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X20" s="3">
        <v>4739597</v>
      </c>
    </row>
    <row r="21" spans="1:24" ht="15.75" x14ac:dyDescent="0.25">
      <c r="A21" t="s">
        <v>17</v>
      </c>
      <c r="B21" s="2">
        <v>7.3</v>
      </c>
      <c r="C21" s="15">
        <f t="shared" si="0"/>
        <v>1146.7341071136245</v>
      </c>
      <c r="D21" s="15">
        <f t="shared" si="1"/>
        <v>585.06842199674725</v>
      </c>
      <c r="E21" s="15">
        <f t="shared" si="2"/>
        <v>1018.0190542743402</v>
      </c>
      <c r="F21" s="18">
        <v>6.9</v>
      </c>
      <c r="G21" s="13">
        <v>9.8000000000000007</v>
      </c>
      <c r="H21" s="13">
        <v>5</v>
      </c>
      <c r="I21" s="13">
        <v>8.6999999999999993</v>
      </c>
      <c r="J21" s="10"/>
      <c r="K21" s="10"/>
      <c r="L21" s="10"/>
      <c r="M21" s="10"/>
      <c r="X21" s="3">
        <v>8546009</v>
      </c>
    </row>
    <row r="22" spans="1:24" ht="15.75" x14ac:dyDescent="0.25">
      <c r="A22" t="s">
        <v>18</v>
      </c>
      <c r="D22" s="10"/>
      <c r="E22" s="10"/>
      <c r="F22" s="18">
        <v>5.2</v>
      </c>
      <c r="G22" s="10"/>
      <c r="H22" s="10"/>
      <c r="I22" s="10"/>
      <c r="J22" s="10"/>
      <c r="K22" s="10"/>
      <c r="L22" s="10"/>
      <c r="M22" s="10"/>
      <c r="X22" s="3">
        <v>60627494</v>
      </c>
    </row>
    <row r="23" spans="1:24" ht="15.75" x14ac:dyDescent="0.25">
      <c r="A23" t="s">
        <v>19</v>
      </c>
      <c r="D23" s="12"/>
      <c r="E23" s="12"/>
      <c r="F23" s="18">
        <v>8.1</v>
      </c>
      <c r="G23" s="10"/>
      <c r="H23" s="10"/>
      <c r="I23" s="10"/>
      <c r="J23" s="10"/>
      <c r="K23" s="10"/>
      <c r="L23" s="10"/>
      <c r="M23" s="10"/>
      <c r="X23" s="3">
        <v>126932772</v>
      </c>
    </row>
    <row r="24" spans="1:24" ht="15.75" x14ac:dyDescent="0.25">
      <c r="A24" t="s">
        <v>20</v>
      </c>
      <c r="D24" s="9"/>
      <c r="E24" s="9"/>
      <c r="F24" s="18">
        <v>10.7</v>
      </c>
      <c r="G24" s="10"/>
      <c r="H24" s="10"/>
      <c r="I24" s="10"/>
      <c r="J24" s="10"/>
      <c r="K24" s="10"/>
      <c r="L24" s="10"/>
      <c r="M24" s="10"/>
      <c r="X24" s="3">
        <v>51245707</v>
      </c>
    </row>
    <row r="25" spans="1:24" ht="15.75" x14ac:dyDescent="0.25">
      <c r="A25" t="s">
        <v>21</v>
      </c>
      <c r="D25" s="9"/>
      <c r="E25" s="9"/>
      <c r="F25" s="18">
        <v>3.6</v>
      </c>
      <c r="G25" s="10"/>
      <c r="H25" s="10"/>
      <c r="I25" s="10"/>
      <c r="J25" s="10"/>
      <c r="K25" s="10"/>
      <c r="L25" s="10"/>
      <c r="M25" s="10"/>
      <c r="X25" s="3">
        <v>1959535</v>
      </c>
    </row>
    <row r="26" spans="1:24" ht="15.75" x14ac:dyDescent="0.25">
      <c r="A26" t="s">
        <v>22</v>
      </c>
      <c r="C26" s="10"/>
      <c r="D26" s="9"/>
      <c r="E26" s="9"/>
      <c r="F26" s="18">
        <v>4.2</v>
      </c>
      <c r="G26" s="10"/>
      <c r="H26" s="10"/>
      <c r="I26" s="10"/>
      <c r="J26" s="10"/>
      <c r="K26" s="10"/>
      <c r="L26" s="10"/>
      <c r="M26" s="10"/>
      <c r="X26" s="3">
        <v>2868234</v>
      </c>
    </row>
    <row r="27" spans="1:24" ht="15.75" x14ac:dyDescent="0.25">
      <c r="A27" t="s">
        <v>23</v>
      </c>
      <c r="C27" s="11"/>
      <c r="D27" s="11"/>
      <c r="E27" s="11"/>
      <c r="F27" s="11">
        <v>13.8</v>
      </c>
      <c r="G27" s="11"/>
      <c r="H27" s="11"/>
      <c r="I27" s="10"/>
      <c r="J27" s="10"/>
      <c r="K27" s="10"/>
      <c r="L27" s="10"/>
      <c r="M27" s="10"/>
      <c r="X27" s="3">
        <v>583459</v>
      </c>
    </row>
    <row r="28" spans="1:24" ht="15.75" x14ac:dyDescent="0.25">
      <c r="A28" t="s">
        <v>24</v>
      </c>
      <c r="C28" s="9"/>
      <c r="D28" s="9"/>
      <c r="E28" s="9"/>
      <c r="F28" s="18">
        <v>2.2999999999999998</v>
      </c>
      <c r="G28" s="9"/>
      <c r="H28" s="9"/>
      <c r="I28" s="10"/>
      <c r="J28" s="10"/>
      <c r="K28" s="10"/>
      <c r="L28" s="10"/>
      <c r="M28" s="10"/>
      <c r="X28" s="3">
        <v>122715165</v>
      </c>
    </row>
    <row r="29" spans="1:24" ht="15.75" x14ac:dyDescent="0.25">
      <c r="A29" t="s">
        <v>25</v>
      </c>
      <c r="C29" s="9"/>
      <c r="D29" s="9"/>
      <c r="E29" s="9"/>
      <c r="F29" s="18">
        <v>6.7</v>
      </c>
      <c r="G29" s="9"/>
      <c r="H29" s="9"/>
      <c r="I29" s="10"/>
      <c r="J29" s="10"/>
      <c r="K29" s="10"/>
      <c r="L29" s="10"/>
      <c r="M29" s="10"/>
      <c r="X29" s="3">
        <v>17030314</v>
      </c>
    </row>
    <row r="30" spans="1:24" ht="15.75" x14ac:dyDescent="0.25">
      <c r="A30" t="s">
        <v>26</v>
      </c>
      <c r="C30" s="9"/>
      <c r="D30" s="9"/>
      <c r="E30" s="9"/>
      <c r="F30" s="18">
        <v>8.6</v>
      </c>
      <c r="G30" s="9"/>
      <c r="H30" s="9"/>
      <c r="I30" s="10"/>
      <c r="J30" s="10"/>
      <c r="K30" s="10"/>
      <c r="L30" s="10"/>
      <c r="M30" s="10"/>
      <c r="X30" s="3">
        <v>4693200</v>
      </c>
    </row>
    <row r="31" spans="1:24" ht="15.75" x14ac:dyDescent="0.25">
      <c r="A31" t="s">
        <v>27</v>
      </c>
      <c r="C31" s="9"/>
      <c r="D31" s="9"/>
      <c r="E31" s="9"/>
      <c r="F31" s="18">
        <v>23.7</v>
      </c>
      <c r="G31" s="9"/>
      <c r="H31" s="9"/>
      <c r="I31" s="11"/>
      <c r="J31" s="10"/>
      <c r="K31" s="10"/>
      <c r="L31" s="10"/>
      <c r="M31" s="10"/>
      <c r="X31" s="3">
        <v>5236152</v>
      </c>
    </row>
    <row r="32" spans="1:24" ht="15.75" x14ac:dyDescent="0.25">
      <c r="A32" t="s">
        <v>28</v>
      </c>
      <c r="C32" s="9"/>
      <c r="D32" s="9"/>
      <c r="E32" s="9"/>
      <c r="F32" s="18">
        <v>4.2</v>
      </c>
      <c r="G32" s="9"/>
      <c r="H32" s="9"/>
      <c r="I32" s="9"/>
      <c r="J32" s="10"/>
      <c r="K32" s="10"/>
      <c r="L32" s="10"/>
      <c r="M32" s="10"/>
      <c r="X32" s="3">
        <v>38426809</v>
      </c>
    </row>
    <row r="33" spans="1:24" ht="15.75" x14ac:dyDescent="0.25">
      <c r="A33" t="s">
        <v>29</v>
      </c>
      <c r="C33" s="10"/>
      <c r="D33" s="9"/>
      <c r="E33" s="9"/>
      <c r="F33" s="18">
        <v>5</v>
      </c>
      <c r="G33" s="9"/>
      <c r="H33" s="9"/>
      <c r="I33" s="9"/>
      <c r="J33" s="10"/>
      <c r="K33" s="10"/>
      <c r="L33" s="10"/>
      <c r="M33" s="11"/>
      <c r="X33" s="3">
        <v>10325452</v>
      </c>
    </row>
    <row r="34" spans="1:24" ht="15.75" x14ac:dyDescent="0.25">
      <c r="A34" t="s">
        <v>30</v>
      </c>
      <c r="C34" s="10"/>
      <c r="D34" s="10"/>
      <c r="E34" s="10"/>
      <c r="F34" s="18">
        <v>5.4</v>
      </c>
      <c r="G34" s="10"/>
      <c r="H34" s="10"/>
      <c r="I34" s="10"/>
      <c r="J34" s="10"/>
      <c r="K34" s="10"/>
      <c r="L34" s="10"/>
      <c r="M34" s="9"/>
      <c r="X34" s="3">
        <v>5430798</v>
      </c>
    </row>
    <row r="35" spans="1:24" ht="15.75" x14ac:dyDescent="0.25">
      <c r="A35" t="s">
        <v>31</v>
      </c>
      <c r="C35" s="10"/>
      <c r="D35" s="10"/>
      <c r="E35" s="10"/>
      <c r="F35" s="18">
        <v>7.2</v>
      </c>
      <c r="G35" s="10"/>
      <c r="H35" s="10"/>
      <c r="I35" s="10"/>
      <c r="J35" s="10"/>
      <c r="K35" s="10"/>
      <c r="L35" s="10"/>
      <c r="M35" s="9"/>
      <c r="X35" s="3">
        <v>2064241</v>
      </c>
    </row>
    <row r="36" spans="1:24" ht="15.75" x14ac:dyDescent="0.25">
      <c r="A36" t="s">
        <v>32</v>
      </c>
      <c r="C36" s="12"/>
      <c r="D36" s="12"/>
      <c r="E36" s="10"/>
      <c r="F36" s="18">
        <v>5.5</v>
      </c>
      <c r="G36" s="10"/>
      <c r="H36" s="10"/>
      <c r="I36" s="10"/>
      <c r="J36" s="10"/>
      <c r="K36" s="10"/>
      <c r="L36" s="11"/>
      <c r="M36" s="9"/>
      <c r="X36" s="3">
        <v>46449874</v>
      </c>
    </row>
    <row r="37" spans="1:24" ht="15.75" x14ac:dyDescent="0.25">
      <c r="A37" t="s">
        <v>33</v>
      </c>
      <c r="C37" s="9"/>
      <c r="D37" s="9"/>
      <c r="E37" s="10"/>
      <c r="F37" s="18">
        <v>13.6</v>
      </c>
      <c r="G37" s="10"/>
      <c r="H37" s="10"/>
      <c r="I37" s="10"/>
      <c r="J37" s="10"/>
      <c r="K37" s="10"/>
      <c r="L37" s="9"/>
      <c r="M37" s="9"/>
      <c r="X37" s="3">
        <v>9923085</v>
      </c>
    </row>
    <row r="38" spans="1:24" ht="15.75" x14ac:dyDescent="0.25">
      <c r="A38" t="s">
        <v>34</v>
      </c>
      <c r="C38" s="9"/>
      <c r="D38" s="9"/>
      <c r="E38" s="10"/>
      <c r="F38" s="18">
        <v>7.6</v>
      </c>
      <c r="G38" s="10"/>
      <c r="H38" s="10"/>
      <c r="I38" s="10"/>
      <c r="J38" s="10"/>
      <c r="K38" s="10"/>
      <c r="L38" s="9"/>
      <c r="M38" s="9"/>
      <c r="X38" s="3">
        <v>8373334</v>
      </c>
    </row>
    <row r="39" spans="1:24" ht="15.75" x14ac:dyDescent="0.25">
      <c r="A39" t="s">
        <v>35</v>
      </c>
      <c r="C39" s="9"/>
      <c r="D39" s="9"/>
      <c r="E39" s="10"/>
      <c r="F39" s="18">
        <v>3.3</v>
      </c>
      <c r="G39" s="10"/>
      <c r="H39" s="10"/>
      <c r="I39" s="10"/>
      <c r="J39" s="10"/>
      <c r="K39" s="10"/>
      <c r="L39" s="10"/>
      <c r="M39" s="10"/>
      <c r="X39" s="3">
        <v>79277971</v>
      </c>
    </row>
    <row r="40" spans="1:24" ht="15.75" x14ac:dyDescent="0.25">
      <c r="A40" t="s">
        <v>36</v>
      </c>
      <c r="C40" s="9"/>
      <c r="D40" s="9"/>
      <c r="E40" s="10"/>
      <c r="F40" s="18">
        <v>5</v>
      </c>
      <c r="G40" s="10"/>
      <c r="H40" s="10"/>
      <c r="I40" s="10"/>
      <c r="J40" s="10"/>
      <c r="K40" s="10"/>
      <c r="L40" s="10"/>
      <c r="X40" s="3">
        <v>65648054</v>
      </c>
    </row>
    <row r="41" spans="1:24" ht="15.75" x14ac:dyDescent="0.25">
      <c r="A41" t="s">
        <v>37</v>
      </c>
      <c r="C41" s="9"/>
      <c r="D41" s="9"/>
      <c r="E41" s="10"/>
      <c r="F41" s="18">
        <v>12.6</v>
      </c>
      <c r="G41" s="10"/>
      <c r="H41" s="10"/>
      <c r="I41" s="10"/>
      <c r="J41" s="10"/>
      <c r="K41" s="10"/>
      <c r="L41" s="10"/>
      <c r="X41" s="3">
        <v>323071342</v>
      </c>
    </row>
    <row r="42" spans="1:24" x14ac:dyDescent="0.25">
      <c r="C42" s="10"/>
      <c r="D42" s="10"/>
      <c r="E42" s="10"/>
      <c r="F42" s="10"/>
      <c r="G42" s="10"/>
      <c r="H42" s="10"/>
      <c r="I42" s="10"/>
      <c r="J42" s="10"/>
      <c r="K42" s="10"/>
      <c r="L42" s="10"/>
    </row>
    <row r="43" spans="1:24" x14ac:dyDescent="0.25">
      <c r="C43" s="10"/>
      <c r="D43" s="10"/>
      <c r="E43" s="10"/>
      <c r="F43" s="10"/>
      <c r="G43" s="10"/>
      <c r="H43" s="10"/>
      <c r="I43" s="10"/>
      <c r="J43" s="10"/>
      <c r="K43" s="10"/>
      <c r="L43" s="10"/>
    </row>
    <row r="44" spans="1:24" x14ac:dyDescent="0.25">
      <c r="C44" s="11"/>
      <c r="D44" s="11"/>
      <c r="E44" s="11"/>
      <c r="F44" s="11"/>
      <c r="G44" s="11"/>
      <c r="H44" s="11"/>
      <c r="I44" s="10"/>
      <c r="J44" s="10"/>
      <c r="K44" s="10"/>
    </row>
    <row r="45" spans="1:24" x14ac:dyDescent="0.25">
      <c r="C45" s="9"/>
      <c r="D45" s="9"/>
      <c r="E45" s="9"/>
      <c r="F45" s="9"/>
      <c r="G45" s="9"/>
      <c r="H45" s="9"/>
      <c r="I45" s="10"/>
      <c r="J45" s="10"/>
      <c r="K45" s="10"/>
    </row>
    <row r="46" spans="1:24" x14ac:dyDescent="0.25">
      <c r="C46" s="9"/>
      <c r="D46" s="9"/>
      <c r="E46" s="9"/>
      <c r="F46" s="9"/>
      <c r="G46" s="9"/>
      <c r="H46" s="9"/>
      <c r="I46" s="10"/>
      <c r="J46" s="10"/>
      <c r="K46" s="10"/>
    </row>
    <row r="47" spans="1:24" x14ac:dyDescent="0.25">
      <c r="C47" s="9"/>
      <c r="D47" s="9"/>
      <c r="E47" s="9"/>
      <c r="F47" s="9"/>
      <c r="G47" s="9"/>
      <c r="H47" s="9"/>
      <c r="I47" s="10"/>
      <c r="J47" s="10"/>
      <c r="K47" s="10"/>
    </row>
    <row r="48" spans="1:24" x14ac:dyDescent="0.25">
      <c r="C48" s="10"/>
      <c r="D48" s="10"/>
      <c r="E48" s="10"/>
      <c r="F48" s="10"/>
      <c r="G48" s="10"/>
      <c r="H48" s="10"/>
      <c r="I48" s="10"/>
      <c r="J48" s="10"/>
      <c r="K48" s="10"/>
    </row>
    <row r="49" spans="3:11" x14ac:dyDescent="0.25">
      <c r="C49" s="11"/>
      <c r="D49" s="11"/>
      <c r="E49" s="11"/>
      <c r="F49" s="11"/>
      <c r="G49" s="11"/>
      <c r="H49" s="11"/>
      <c r="I49" s="11"/>
      <c r="J49" s="11"/>
      <c r="K49" s="11"/>
    </row>
    <row r="50" spans="3:11" x14ac:dyDescent="0.25">
      <c r="C50" s="9"/>
      <c r="D50" s="9"/>
      <c r="E50" s="9"/>
      <c r="F50" s="9"/>
      <c r="G50" s="9"/>
      <c r="H50" s="9"/>
      <c r="I50" s="9"/>
      <c r="J50" s="9"/>
      <c r="K50" s="9"/>
    </row>
    <row r="51" spans="3:11" x14ac:dyDescent="0.25">
      <c r="C51" s="9"/>
      <c r="D51" s="9"/>
      <c r="E51" s="9"/>
      <c r="F51" s="9"/>
      <c r="G51" s="9"/>
      <c r="H51" s="9"/>
      <c r="I51" s="9"/>
      <c r="J51" s="9"/>
      <c r="K51" s="9"/>
    </row>
    <row r="52" spans="3:11" x14ac:dyDescent="0.25">
      <c r="C52" s="9"/>
      <c r="D52" s="9"/>
      <c r="E52" s="9"/>
      <c r="F52" s="9"/>
      <c r="G52" s="9"/>
      <c r="H52" s="9"/>
      <c r="I52" s="9"/>
      <c r="J52" s="9"/>
      <c r="K52" s="9"/>
    </row>
    <row r="53" spans="3:11" x14ac:dyDescent="0.25">
      <c r="C53" s="9"/>
      <c r="D53" s="9"/>
      <c r="E53" s="9"/>
      <c r="F53" s="9"/>
      <c r="G53" s="9"/>
      <c r="H53" s="9"/>
      <c r="I53" s="9"/>
      <c r="J53" s="9"/>
      <c r="K53" s="9"/>
    </row>
    <row r="54" spans="3:11" x14ac:dyDescent="0.25">
      <c r="C54" s="9"/>
      <c r="D54" s="9"/>
      <c r="E54" s="9"/>
      <c r="F54" s="9"/>
      <c r="G54" s="9"/>
      <c r="H54" s="9"/>
      <c r="I54" s="9"/>
      <c r="J54" s="9"/>
      <c r="K54" s="9"/>
    </row>
    <row r="55" spans="3:11" x14ac:dyDescent="0.25">
      <c r="C55" s="10"/>
      <c r="D55" s="10"/>
      <c r="E55" s="10"/>
      <c r="F55" s="10"/>
      <c r="G55" s="10"/>
      <c r="H55" s="10"/>
      <c r="I55" s="10"/>
      <c r="J55" s="10"/>
      <c r="K55" s="10"/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MAin</vt:lpstr>
      <vt:lpstr>Sheet3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2019-12-08T17:29:58Z</dcterms:modified>
</cp:coreProperties>
</file>